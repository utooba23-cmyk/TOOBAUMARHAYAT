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C3B71AD2-773B-4280-A336-01D3D35E920C}" xr6:coauthVersionLast="47" xr6:coauthVersionMax="47" xr10:uidLastSave="{00000000-0000-0000-0000-000000000000}"/>
  <bookViews>
    <workbookView xWindow="-120" yWindow="-120" windowWidth="20730" windowHeight="11160" activeTab="1" xr2:uid="{4F30C2E1-E4CA-4C0F-803C-12FF9E8E020B}"/>
  </bookViews>
  <sheets>
    <sheet name="Sheet2" sheetId="2" r:id="rId1"/>
    <sheet name="Sheet1" sheetId="1" r:id="rId2"/>
    <sheet name="Sheet3" sheetId="3" r:id="rId3"/>
  </sheets>
  <calcPr calcId="19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1" l="1"/>
  <c r="N2" i="1"/>
  <c r="L2" i="1"/>
  <c r="K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2" i="1"/>
</calcChain>
</file>

<file path=xl/sharedStrings.xml><?xml version="1.0" encoding="utf-8"?>
<sst xmlns="http://schemas.openxmlformats.org/spreadsheetml/2006/main" count="237" uniqueCount="83">
  <si>
    <t>Emp ID</t>
  </si>
  <si>
    <t>Employee Name</t>
  </si>
  <si>
    <t>Department</t>
  </si>
  <si>
    <t>City</t>
  </si>
  <si>
    <t>Gender</t>
  </si>
  <si>
    <t>Basic Salary</t>
  </si>
  <si>
    <t>Allowance</t>
  </si>
  <si>
    <t>Total Salary</t>
  </si>
  <si>
    <t>Ahmed Khan</t>
  </si>
  <si>
    <t>Accounts</t>
  </si>
  <si>
    <t>Karachi</t>
  </si>
  <si>
    <t>Male</t>
  </si>
  <si>
    <t>A</t>
  </si>
  <si>
    <t>Muhammad Ali</t>
  </si>
  <si>
    <t>IT</t>
  </si>
  <si>
    <t>Lahore</t>
  </si>
  <si>
    <t>B</t>
  </si>
  <si>
    <t>Ayesha Malik</t>
  </si>
  <si>
    <t>HR</t>
  </si>
  <si>
    <t>Islamabad</t>
  </si>
  <si>
    <t>Female</t>
  </si>
  <si>
    <t>Hassan Raza</t>
  </si>
  <si>
    <t>Sales</t>
  </si>
  <si>
    <t>C</t>
  </si>
  <si>
    <t>Fatima Noor</t>
  </si>
  <si>
    <t>Marketing</t>
  </si>
  <si>
    <t>Usman Tariq</t>
  </si>
  <si>
    <t>Rawalpindi</t>
  </si>
  <si>
    <t>Zainab Iqbal</t>
  </si>
  <si>
    <t>Faisalabad</t>
  </si>
  <si>
    <t>Bilal Ahmed</t>
  </si>
  <si>
    <t>Multan</t>
  </si>
  <si>
    <t>Sara Khan</t>
  </si>
  <si>
    <t>Abdul Rehman</t>
  </si>
  <si>
    <t>Hira Sheikh</t>
  </si>
  <si>
    <t>Salman Butt</t>
  </si>
  <si>
    <t>Sialkot</t>
  </si>
  <si>
    <t>Maryam Nawaz</t>
  </si>
  <si>
    <t>Imran Siddiqui</t>
  </si>
  <si>
    <t>Noor Fatima</t>
  </si>
  <si>
    <t>Shahzad Ali</t>
  </si>
  <si>
    <t>Anum Khalid</t>
  </si>
  <si>
    <t>Fahad Mirza</t>
  </si>
  <si>
    <t>Rabia Yousaf</t>
  </si>
  <si>
    <t>Kamran Akhtar</t>
  </si>
  <si>
    <t>Saad Hussain</t>
  </si>
  <si>
    <t>Sana Riaz</t>
  </si>
  <si>
    <t>Talha Mehmood</t>
  </si>
  <si>
    <t>Mahnoor Shah</t>
  </si>
  <si>
    <t>Waqas Anwar</t>
  </si>
  <si>
    <t>Bushra Ansari</t>
  </si>
  <si>
    <t>Adnan Qureshi</t>
  </si>
  <si>
    <t>Laiba Aslam</t>
  </si>
  <si>
    <t>Danish Farooq</t>
  </si>
  <si>
    <t>Hammad Javed</t>
  </si>
  <si>
    <t>Sidra Munir</t>
  </si>
  <si>
    <t>Asadullah</t>
  </si>
  <si>
    <t>Muneeba Rafi</t>
  </si>
  <si>
    <t>Rizwan Haider</t>
  </si>
  <si>
    <t>Iqra Aziz</t>
  </si>
  <si>
    <t>Naveed Abbas</t>
  </si>
  <si>
    <t>Kiran Akram</t>
  </si>
  <si>
    <t>Shoaib Malik</t>
  </si>
  <si>
    <t>Alina Sohail</t>
  </si>
  <si>
    <t>Adeel Latif</t>
  </si>
  <si>
    <t>D</t>
  </si>
  <si>
    <t>SUMIF</t>
  </si>
  <si>
    <t>COUNTIF</t>
  </si>
  <si>
    <t>STATUS</t>
  </si>
  <si>
    <t>VLOOUP</t>
  </si>
  <si>
    <t>Row Labels</t>
  </si>
  <si>
    <t>Grand Total</t>
  </si>
  <si>
    <t>(All)</t>
  </si>
  <si>
    <t>Sum of Emp ID</t>
  </si>
  <si>
    <t>Sum of Basic Salary</t>
  </si>
  <si>
    <t>Sum of Allowance</t>
  </si>
  <si>
    <t>Count of City</t>
  </si>
  <si>
    <t>Count of STATUS</t>
  </si>
  <si>
    <t>(Multiple Items)</t>
  </si>
  <si>
    <t>Count of Employee Name</t>
  </si>
  <si>
    <t>COUNT</t>
  </si>
  <si>
    <t>TOTAL AMOUNT</t>
  </si>
  <si>
    <t>avrg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</si>
</sst>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3" borderId="0" xfId="0" applyFill="1"/>
    <xf numFmtId="0" fontId="1" fillId="3" borderId="0" xfId="0" applyFont="1" applyFill="1" applyAlignment="1">
      <alignment horizontal="center" vertical="top" wrapText="1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[TOOBA FINAL PROJECT7.xlsx]Sheet1!PivotTable6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BASIC</a:t>
            </a:r>
            <a:r>
              <a:rPr lang="en-US" baseline="0"/>
              <a:t> SALARY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ctr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Sheet1!$P$4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5DD9-4476-B6EF-1CF6217BA0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5DD9-4476-B6EF-1CF6217BA0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5DD9-4476-B6EF-1CF6217BA07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Sheet1!$O$5:$O$8</c:f>
              <c:strCache>
                <c:ptCount val="3"/>
                <c:pt idx="0">
                  <c:v>Islamabad</c:v>
                </c:pt>
                <c:pt idx="1">
                  <c:v>Karachi</c:v>
                </c:pt>
                <c:pt idx="2">
                  <c:v>Lahore</c:v>
                </c:pt>
              </c:strCache>
            </c:strRef>
          </c:cat>
          <c:val>
            <c:numRef>
              <c:f>Sheet1!$P$5:$P$8</c:f>
              <c:numCache>
                <c:formatCode>General</c:formatCode>
                <c:ptCount val="3"/>
                <c:pt idx="0">
                  <c:v>42000</c:v>
                </c:pt>
                <c:pt idx="1">
                  <c:v>38000</c:v>
                </c:pt>
                <c:pt idx="2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755-47FC-AEE1-D58B23DD9CA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[TOOBA FINAL PROJECT7.xlsx]Sheet3!PivotTable3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Sheet3!$B$5</c:f>
              <c:strCache>
                <c:ptCount val="1"/>
                <c:pt idx="0">
                  <c:v>Sum of Emp 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7FF-47B2-A5B6-1FC247CBD943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7FF-47B2-A5B6-1FC247CBD943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7FF-47B2-A5B6-1FC247CBD943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7FF-47B2-A5B6-1FC247CBD943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7FF-47B2-A5B6-1FC247CBD943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7FF-47B2-A5B6-1FC247CBD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7FF-47B2-A5B6-1FC247CBD943}"/>
              </c:ext>
            </c:extLst>
          </c:dPt>
          <c:dPt>
            <c:idx val="7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7FF-47B2-A5B6-1FC247CBD943}"/>
              </c:ext>
            </c:extLst>
          </c:dPt>
          <c:dPt>
            <c:idx val="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7FF-47B2-A5B6-1FC247CBD943}"/>
              </c:ext>
            </c:extLst>
          </c:dPt>
          <c:dPt>
            <c:idx val="9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7FF-47B2-A5B6-1FC247CBD943}"/>
              </c:ext>
            </c:extLst>
          </c:dPt>
          <c:dPt>
            <c:idx val="1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7FF-47B2-A5B6-1FC247CBD943}"/>
              </c:ext>
            </c:extLst>
          </c:dPt>
          <c:dPt>
            <c:idx val="11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7FF-47B2-A5B6-1FC247CBD94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37FF-47B2-A5B6-1FC247CBD943}"/>
              </c:ext>
            </c:extLst>
          </c:dPt>
          <c:dPt>
            <c:idx val="13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37FF-47B2-A5B6-1FC247CBD943}"/>
              </c:ext>
            </c:extLst>
          </c:dPt>
          <c:dPt>
            <c:idx val="1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37FF-47B2-A5B6-1FC247CBD943}"/>
              </c:ext>
            </c:extLst>
          </c:dPt>
          <c:dPt>
            <c:idx val="15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37FF-47B2-A5B6-1FC247CBD943}"/>
              </c:ext>
            </c:extLst>
          </c:dPt>
          <c:dPt>
            <c:idx val="1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37FF-47B2-A5B6-1FC247CBD943}"/>
              </c:ext>
            </c:extLst>
          </c:dPt>
          <c:dPt>
            <c:idx val="17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37FF-47B2-A5B6-1FC247CBD943}"/>
              </c:ext>
            </c:extLst>
          </c:dPt>
          <c:dPt>
            <c:idx val="1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37FF-47B2-A5B6-1FC247CBD943}"/>
              </c:ext>
            </c:extLst>
          </c:dPt>
          <c:dPt>
            <c:idx val="19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37FF-47B2-A5B6-1FC247CBD943}"/>
              </c:ext>
            </c:extLst>
          </c:dPt>
          <c:dPt>
            <c:idx val="2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37FF-47B2-A5B6-1FC247CBD943}"/>
              </c:ext>
            </c:extLst>
          </c:dPt>
          <c:dPt>
            <c:idx val="21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B-37FF-47B2-A5B6-1FC247CBD943}"/>
              </c:ext>
            </c:extLst>
          </c:dPt>
          <c:dPt>
            <c:idx val="2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D-37FF-47B2-A5B6-1FC247CBD943}"/>
              </c:ext>
            </c:extLst>
          </c:dPt>
          <c:dPt>
            <c:idx val="23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F-37FF-47B2-A5B6-1FC247CBD943}"/>
              </c:ext>
            </c:extLst>
          </c:dPt>
          <c:dPt>
            <c:idx val="2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1-37FF-47B2-A5B6-1FC247CBD943}"/>
              </c:ext>
            </c:extLst>
          </c:dPt>
          <c:dPt>
            <c:idx val="25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3-37FF-47B2-A5B6-1FC247CBD943}"/>
              </c:ext>
            </c:extLst>
          </c:dPt>
          <c:dPt>
            <c:idx val="2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5-37FF-47B2-A5B6-1FC247CBD943}"/>
              </c:ext>
            </c:extLst>
          </c:dPt>
          <c:dPt>
            <c:idx val="27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7-37FF-47B2-A5B6-1FC247CBD943}"/>
              </c:ext>
            </c:extLst>
          </c:dPt>
          <c:dPt>
            <c:idx val="2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9-37FF-47B2-A5B6-1FC247CBD943}"/>
              </c:ext>
            </c:extLst>
          </c:dPt>
          <c:dPt>
            <c:idx val="29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B-37FF-47B2-A5B6-1FC247CBD943}"/>
              </c:ext>
            </c:extLst>
          </c:dPt>
          <c:dPt>
            <c:idx val="3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D-37FF-47B2-A5B6-1FC247CBD943}"/>
              </c:ext>
            </c:extLst>
          </c:dPt>
          <c:dPt>
            <c:idx val="31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F-37FF-47B2-A5B6-1FC247CBD943}"/>
              </c:ext>
            </c:extLst>
          </c:dPt>
          <c:dPt>
            <c:idx val="3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1-37FF-47B2-A5B6-1FC247CBD943}"/>
              </c:ext>
            </c:extLst>
          </c:dPt>
          <c:dPt>
            <c:idx val="33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3-37FF-47B2-A5B6-1FC247CBD943}"/>
              </c:ext>
            </c:extLst>
          </c:dPt>
          <c:dPt>
            <c:idx val="3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5-37FF-47B2-A5B6-1FC247CBD943}"/>
              </c:ext>
            </c:extLst>
          </c:dPt>
          <c:dPt>
            <c:idx val="35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7-37FF-47B2-A5B6-1FC247CBD943}"/>
              </c:ext>
            </c:extLst>
          </c:dPt>
          <c:dPt>
            <c:idx val="3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9-37FF-47B2-A5B6-1FC247CBD943}"/>
              </c:ext>
            </c:extLst>
          </c:dPt>
          <c:dPt>
            <c:idx val="37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B-37FF-47B2-A5B6-1FC247CBD943}"/>
              </c:ext>
            </c:extLst>
          </c:dPt>
          <c:cat>
            <c:strRef>
              <c:f>Sheet3!$A$6:$A$44</c:f>
              <c:strCache>
                <c:ptCount val="38"/>
                <c:pt idx="0">
                  <c:v>41500</c:v>
                </c:pt>
                <c:pt idx="1">
                  <c:v>41800</c:v>
                </c:pt>
                <c:pt idx="2">
                  <c:v>41900</c:v>
                </c:pt>
                <c:pt idx="3">
                  <c:v>43000</c:v>
                </c:pt>
                <c:pt idx="4">
                  <c:v>43800</c:v>
                </c:pt>
                <c:pt idx="5">
                  <c:v>43900</c:v>
                </c:pt>
                <c:pt idx="6">
                  <c:v>44000</c:v>
                </c:pt>
                <c:pt idx="7">
                  <c:v>44200</c:v>
                </c:pt>
                <c:pt idx="8">
                  <c:v>44500</c:v>
                </c:pt>
                <c:pt idx="9">
                  <c:v>44600</c:v>
                </c:pt>
                <c:pt idx="10">
                  <c:v>45100</c:v>
                </c:pt>
                <c:pt idx="11">
                  <c:v>46000</c:v>
                </c:pt>
                <c:pt idx="12">
                  <c:v>46300</c:v>
                </c:pt>
                <c:pt idx="13">
                  <c:v>47500</c:v>
                </c:pt>
                <c:pt idx="14">
                  <c:v>48000</c:v>
                </c:pt>
                <c:pt idx="15">
                  <c:v>49200</c:v>
                </c:pt>
                <c:pt idx="16">
                  <c:v>50000</c:v>
                </c:pt>
                <c:pt idx="17">
                  <c:v>50100</c:v>
                </c:pt>
                <c:pt idx="18">
                  <c:v>50500</c:v>
                </c:pt>
                <c:pt idx="19">
                  <c:v>52000</c:v>
                </c:pt>
                <c:pt idx="20">
                  <c:v>52200</c:v>
                </c:pt>
                <c:pt idx="21">
                  <c:v>53000</c:v>
                </c:pt>
                <c:pt idx="22">
                  <c:v>53300</c:v>
                </c:pt>
                <c:pt idx="23">
                  <c:v>54200</c:v>
                </c:pt>
                <c:pt idx="24">
                  <c:v>54500</c:v>
                </c:pt>
                <c:pt idx="25">
                  <c:v>56300</c:v>
                </c:pt>
                <c:pt idx="26">
                  <c:v>57000</c:v>
                </c:pt>
                <c:pt idx="27">
                  <c:v>57700</c:v>
                </c:pt>
                <c:pt idx="28">
                  <c:v>59500</c:v>
                </c:pt>
                <c:pt idx="29">
                  <c:v>68000</c:v>
                </c:pt>
                <c:pt idx="30">
                  <c:v>71200</c:v>
                </c:pt>
                <c:pt idx="31">
                  <c:v>72300</c:v>
                </c:pt>
                <c:pt idx="32">
                  <c:v>74000</c:v>
                </c:pt>
                <c:pt idx="33">
                  <c:v>76500</c:v>
                </c:pt>
                <c:pt idx="34">
                  <c:v>78000</c:v>
                </c:pt>
                <c:pt idx="35">
                  <c:v>80000</c:v>
                </c:pt>
                <c:pt idx="36">
                  <c:v>81500</c:v>
                </c:pt>
                <c:pt idx="37">
                  <c:v>83000</c:v>
                </c:pt>
              </c:strCache>
            </c:strRef>
          </c:cat>
          <c:val>
            <c:numRef>
              <c:f>Sheet3!$B$6:$B$44</c:f>
              <c:numCache>
                <c:formatCode>General</c:formatCode>
                <c:ptCount val="38"/>
                <c:pt idx="0">
                  <c:v>1014</c:v>
                </c:pt>
                <c:pt idx="1">
                  <c:v>1019</c:v>
                </c:pt>
                <c:pt idx="2">
                  <c:v>1034</c:v>
                </c:pt>
                <c:pt idx="3">
                  <c:v>1017</c:v>
                </c:pt>
                <c:pt idx="4">
                  <c:v>1024</c:v>
                </c:pt>
                <c:pt idx="5">
                  <c:v>1037</c:v>
                </c:pt>
                <c:pt idx="6">
                  <c:v>2013</c:v>
                </c:pt>
                <c:pt idx="7">
                  <c:v>1039</c:v>
                </c:pt>
                <c:pt idx="8">
                  <c:v>2029</c:v>
                </c:pt>
                <c:pt idx="9">
                  <c:v>1029</c:v>
                </c:pt>
                <c:pt idx="10">
                  <c:v>1033</c:v>
                </c:pt>
                <c:pt idx="11">
                  <c:v>1003</c:v>
                </c:pt>
                <c:pt idx="12">
                  <c:v>1028</c:v>
                </c:pt>
                <c:pt idx="13">
                  <c:v>1013</c:v>
                </c:pt>
                <c:pt idx="14">
                  <c:v>1012</c:v>
                </c:pt>
                <c:pt idx="15">
                  <c:v>1023</c:v>
                </c:pt>
                <c:pt idx="16">
                  <c:v>1001</c:v>
                </c:pt>
                <c:pt idx="17">
                  <c:v>1038</c:v>
                </c:pt>
                <c:pt idx="18">
                  <c:v>1008</c:v>
                </c:pt>
                <c:pt idx="19">
                  <c:v>1027</c:v>
                </c:pt>
                <c:pt idx="20">
                  <c:v>1031</c:v>
                </c:pt>
                <c:pt idx="21">
                  <c:v>1015</c:v>
                </c:pt>
                <c:pt idx="22">
                  <c:v>1032</c:v>
                </c:pt>
                <c:pt idx="23">
                  <c:v>1018</c:v>
                </c:pt>
                <c:pt idx="24">
                  <c:v>1011</c:v>
                </c:pt>
                <c:pt idx="25">
                  <c:v>1026</c:v>
                </c:pt>
                <c:pt idx="26">
                  <c:v>1005</c:v>
                </c:pt>
                <c:pt idx="27">
                  <c:v>1035</c:v>
                </c:pt>
                <c:pt idx="28">
                  <c:v>1021</c:v>
                </c:pt>
                <c:pt idx="29">
                  <c:v>1002</c:v>
                </c:pt>
                <c:pt idx="30">
                  <c:v>1025</c:v>
                </c:pt>
                <c:pt idx="31">
                  <c:v>1036</c:v>
                </c:pt>
                <c:pt idx="32">
                  <c:v>1006</c:v>
                </c:pt>
                <c:pt idx="33">
                  <c:v>1016</c:v>
                </c:pt>
                <c:pt idx="34">
                  <c:v>1030</c:v>
                </c:pt>
                <c:pt idx="35">
                  <c:v>1010</c:v>
                </c:pt>
                <c:pt idx="36">
                  <c:v>1040</c:v>
                </c:pt>
                <c:pt idx="37">
                  <c:v>1020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A2-40F9-9705-18EB6BBAF602}"/>
            </c:ext>
          </c:extLst>
        </c:ser>
        <c:ser>
          <c:idx val="1"/>
          <c:order val="1"/>
          <c:tx>
            <c:strRef>
              <c:f>Sheet3!$C$5</c:f>
              <c:strCache>
                <c:ptCount val="1"/>
                <c:pt idx="0">
                  <c:v>Sum of Basic Salary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D-37FF-47B2-A5B6-1FC247CBD943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F-37FF-47B2-A5B6-1FC247CBD943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1-37FF-47B2-A5B6-1FC247CBD943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3-37FF-47B2-A5B6-1FC247CBD943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5-37FF-47B2-A5B6-1FC247CBD943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7-37FF-47B2-A5B6-1FC247CBD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9-37FF-47B2-A5B6-1FC247CBD943}"/>
              </c:ext>
            </c:extLst>
          </c:dPt>
          <c:dPt>
            <c:idx val="7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B-37FF-47B2-A5B6-1FC247CBD943}"/>
              </c:ext>
            </c:extLst>
          </c:dPt>
          <c:dPt>
            <c:idx val="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D-37FF-47B2-A5B6-1FC247CBD943}"/>
              </c:ext>
            </c:extLst>
          </c:dPt>
          <c:dPt>
            <c:idx val="9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F-37FF-47B2-A5B6-1FC247CBD943}"/>
              </c:ext>
            </c:extLst>
          </c:dPt>
          <c:dPt>
            <c:idx val="1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1-37FF-47B2-A5B6-1FC247CBD943}"/>
              </c:ext>
            </c:extLst>
          </c:dPt>
          <c:dPt>
            <c:idx val="11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3-37FF-47B2-A5B6-1FC247CBD94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5-37FF-47B2-A5B6-1FC247CBD943}"/>
              </c:ext>
            </c:extLst>
          </c:dPt>
          <c:dPt>
            <c:idx val="13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7-37FF-47B2-A5B6-1FC247CBD943}"/>
              </c:ext>
            </c:extLst>
          </c:dPt>
          <c:dPt>
            <c:idx val="1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9-37FF-47B2-A5B6-1FC247CBD943}"/>
              </c:ext>
            </c:extLst>
          </c:dPt>
          <c:dPt>
            <c:idx val="15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B-37FF-47B2-A5B6-1FC247CBD943}"/>
              </c:ext>
            </c:extLst>
          </c:dPt>
          <c:dPt>
            <c:idx val="1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D-37FF-47B2-A5B6-1FC247CBD943}"/>
              </c:ext>
            </c:extLst>
          </c:dPt>
          <c:dPt>
            <c:idx val="17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F-37FF-47B2-A5B6-1FC247CBD943}"/>
              </c:ext>
            </c:extLst>
          </c:dPt>
          <c:dPt>
            <c:idx val="1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1-37FF-47B2-A5B6-1FC247CBD943}"/>
              </c:ext>
            </c:extLst>
          </c:dPt>
          <c:dPt>
            <c:idx val="19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3-37FF-47B2-A5B6-1FC247CBD943}"/>
              </c:ext>
            </c:extLst>
          </c:dPt>
          <c:dPt>
            <c:idx val="2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5-37FF-47B2-A5B6-1FC247CBD943}"/>
              </c:ext>
            </c:extLst>
          </c:dPt>
          <c:dPt>
            <c:idx val="21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7-37FF-47B2-A5B6-1FC247CBD943}"/>
              </c:ext>
            </c:extLst>
          </c:dPt>
          <c:dPt>
            <c:idx val="2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9-37FF-47B2-A5B6-1FC247CBD943}"/>
              </c:ext>
            </c:extLst>
          </c:dPt>
          <c:dPt>
            <c:idx val="23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B-37FF-47B2-A5B6-1FC247CBD943}"/>
              </c:ext>
            </c:extLst>
          </c:dPt>
          <c:dPt>
            <c:idx val="2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D-37FF-47B2-A5B6-1FC247CBD943}"/>
              </c:ext>
            </c:extLst>
          </c:dPt>
          <c:dPt>
            <c:idx val="25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F-37FF-47B2-A5B6-1FC247CBD943}"/>
              </c:ext>
            </c:extLst>
          </c:dPt>
          <c:dPt>
            <c:idx val="2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1-37FF-47B2-A5B6-1FC247CBD943}"/>
              </c:ext>
            </c:extLst>
          </c:dPt>
          <c:dPt>
            <c:idx val="27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3-37FF-47B2-A5B6-1FC247CBD943}"/>
              </c:ext>
            </c:extLst>
          </c:dPt>
          <c:dPt>
            <c:idx val="2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5-37FF-47B2-A5B6-1FC247CBD943}"/>
              </c:ext>
            </c:extLst>
          </c:dPt>
          <c:dPt>
            <c:idx val="29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7-37FF-47B2-A5B6-1FC247CBD943}"/>
              </c:ext>
            </c:extLst>
          </c:dPt>
          <c:dPt>
            <c:idx val="3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9-37FF-47B2-A5B6-1FC247CBD943}"/>
              </c:ext>
            </c:extLst>
          </c:dPt>
          <c:dPt>
            <c:idx val="31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B-37FF-47B2-A5B6-1FC247CBD943}"/>
              </c:ext>
            </c:extLst>
          </c:dPt>
          <c:dPt>
            <c:idx val="3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D-37FF-47B2-A5B6-1FC247CBD943}"/>
              </c:ext>
            </c:extLst>
          </c:dPt>
          <c:dPt>
            <c:idx val="33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F-37FF-47B2-A5B6-1FC247CBD943}"/>
              </c:ext>
            </c:extLst>
          </c:dPt>
          <c:dPt>
            <c:idx val="3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1-37FF-47B2-A5B6-1FC247CBD943}"/>
              </c:ext>
            </c:extLst>
          </c:dPt>
          <c:dPt>
            <c:idx val="35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3-37FF-47B2-A5B6-1FC247CBD943}"/>
              </c:ext>
            </c:extLst>
          </c:dPt>
          <c:dPt>
            <c:idx val="3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5-37FF-47B2-A5B6-1FC247CBD943}"/>
              </c:ext>
            </c:extLst>
          </c:dPt>
          <c:dPt>
            <c:idx val="37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7-37FF-47B2-A5B6-1FC247CBD943}"/>
              </c:ext>
            </c:extLst>
          </c:dPt>
          <c:cat>
            <c:strRef>
              <c:f>Sheet3!$A$6:$A$44</c:f>
              <c:strCache>
                <c:ptCount val="38"/>
                <c:pt idx="0">
                  <c:v>41500</c:v>
                </c:pt>
                <c:pt idx="1">
                  <c:v>41800</c:v>
                </c:pt>
                <c:pt idx="2">
                  <c:v>41900</c:v>
                </c:pt>
                <c:pt idx="3">
                  <c:v>43000</c:v>
                </c:pt>
                <c:pt idx="4">
                  <c:v>43800</c:v>
                </c:pt>
                <c:pt idx="5">
                  <c:v>43900</c:v>
                </c:pt>
                <c:pt idx="6">
                  <c:v>44000</c:v>
                </c:pt>
                <c:pt idx="7">
                  <c:v>44200</c:v>
                </c:pt>
                <c:pt idx="8">
                  <c:v>44500</c:v>
                </c:pt>
                <c:pt idx="9">
                  <c:v>44600</c:v>
                </c:pt>
                <c:pt idx="10">
                  <c:v>45100</c:v>
                </c:pt>
                <c:pt idx="11">
                  <c:v>46000</c:v>
                </c:pt>
                <c:pt idx="12">
                  <c:v>46300</c:v>
                </c:pt>
                <c:pt idx="13">
                  <c:v>47500</c:v>
                </c:pt>
                <c:pt idx="14">
                  <c:v>48000</c:v>
                </c:pt>
                <c:pt idx="15">
                  <c:v>49200</c:v>
                </c:pt>
                <c:pt idx="16">
                  <c:v>50000</c:v>
                </c:pt>
                <c:pt idx="17">
                  <c:v>50100</c:v>
                </c:pt>
                <c:pt idx="18">
                  <c:v>50500</c:v>
                </c:pt>
                <c:pt idx="19">
                  <c:v>52000</c:v>
                </c:pt>
                <c:pt idx="20">
                  <c:v>52200</c:v>
                </c:pt>
                <c:pt idx="21">
                  <c:v>53000</c:v>
                </c:pt>
                <c:pt idx="22">
                  <c:v>53300</c:v>
                </c:pt>
                <c:pt idx="23">
                  <c:v>54200</c:v>
                </c:pt>
                <c:pt idx="24">
                  <c:v>54500</c:v>
                </c:pt>
                <c:pt idx="25">
                  <c:v>56300</c:v>
                </c:pt>
                <c:pt idx="26">
                  <c:v>57000</c:v>
                </c:pt>
                <c:pt idx="27">
                  <c:v>57700</c:v>
                </c:pt>
                <c:pt idx="28">
                  <c:v>59500</c:v>
                </c:pt>
                <c:pt idx="29">
                  <c:v>68000</c:v>
                </c:pt>
                <c:pt idx="30">
                  <c:v>71200</c:v>
                </c:pt>
                <c:pt idx="31">
                  <c:v>72300</c:v>
                </c:pt>
                <c:pt idx="32">
                  <c:v>74000</c:v>
                </c:pt>
                <c:pt idx="33">
                  <c:v>76500</c:v>
                </c:pt>
                <c:pt idx="34">
                  <c:v>78000</c:v>
                </c:pt>
                <c:pt idx="35">
                  <c:v>80000</c:v>
                </c:pt>
                <c:pt idx="36">
                  <c:v>81500</c:v>
                </c:pt>
                <c:pt idx="37">
                  <c:v>83000</c:v>
                </c:pt>
              </c:strCache>
            </c:strRef>
          </c:cat>
          <c:val>
            <c:numRef>
              <c:f>Sheet3!$C$6:$C$44</c:f>
              <c:numCache>
                <c:formatCode>General</c:formatCode>
                <c:ptCount val="38"/>
                <c:pt idx="0">
                  <c:v>36000</c:v>
                </c:pt>
                <c:pt idx="1">
                  <c:v>37000</c:v>
                </c:pt>
                <c:pt idx="2">
                  <c:v>37000</c:v>
                </c:pt>
                <c:pt idx="3">
                  <c:v>40000</c:v>
                </c:pt>
                <c:pt idx="4">
                  <c:v>38500</c:v>
                </c:pt>
                <c:pt idx="5">
                  <c:v>40500</c:v>
                </c:pt>
                <c:pt idx="6">
                  <c:v>77000</c:v>
                </c:pt>
                <c:pt idx="7">
                  <c:v>39000</c:v>
                </c:pt>
                <c:pt idx="8">
                  <c:v>82000</c:v>
                </c:pt>
                <c:pt idx="9">
                  <c:v>39500</c:v>
                </c:pt>
                <c:pt idx="10">
                  <c:v>41500</c:v>
                </c:pt>
                <c:pt idx="11">
                  <c:v>42000</c:v>
                </c:pt>
                <c:pt idx="12">
                  <c:v>42500</c:v>
                </c:pt>
                <c:pt idx="13">
                  <c:v>43000</c:v>
                </c:pt>
                <c:pt idx="14">
                  <c:v>44000</c:v>
                </c:pt>
                <c:pt idx="15">
                  <c:v>45000</c:v>
                </c:pt>
                <c:pt idx="16">
                  <c:v>45000</c:v>
                </c:pt>
                <c:pt idx="17">
                  <c:v>45500</c:v>
                </c:pt>
                <c:pt idx="18">
                  <c:v>46000</c:v>
                </c:pt>
                <c:pt idx="19">
                  <c:v>47000</c:v>
                </c:pt>
                <c:pt idx="20">
                  <c:v>46000</c:v>
                </c:pt>
                <c:pt idx="21">
                  <c:v>47000</c:v>
                </c:pt>
                <c:pt idx="22">
                  <c:v>48000</c:v>
                </c:pt>
                <c:pt idx="23">
                  <c:v>49000</c:v>
                </c:pt>
                <c:pt idx="24">
                  <c:v>48000</c:v>
                </c:pt>
                <c:pt idx="25">
                  <c:v>49500</c:v>
                </c:pt>
                <c:pt idx="26">
                  <c:v>50000</c:v>
                </c:pt>
                <c:pt idx="27">
                  <c:v>50500</c:v>
                </c:pt>
                <c:pt idx="28">
                  <c:v>52000</c:v>
                </c:pt>
                <c:pt idx="29">
                  <c:v>60000</c:v>
                </c:pt>
                <c:pt idx="30">
                  <c:v>63000</c:v>
                </c:pt>
                <c:pt idx="31">
                  <c:v>64000</c:v>
                </c:pt>
                <c:pt idx="32">
                  <c:v>65000</c:v>
                </c:pt>
                <c:pt idx="33">
                  <c:v>68000</c:v>
                </c:pt>
                <c:pt idx="34">
                  <c:v>69000</c:v>
                </c:pt>
                <c:pt idx="35">
                  <c:v>70000</c:v>
                </c:pt>
                <c:pt idx="36">
                  <c:v>71000</c:v>
                </c:pt>
                <c:pt idx="37">
                  <c:v>72000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A2-40F9-9705-18EB6BBAF602}"/>
            </c:ext>
          </c:extLst>
        </c:ser>
        <c:ser>
          <c:idx val="2"/>
          <c:order val="2"/>
          <c:tx>
            <c:strRef>
              <c:f>Sheet3!$D$5</c:f>
              <c:strCache>
                <c:ptCount val="1"/>
                <c:pt idx="0">
                  <c:v>Sum of Allowance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9-37FF-47B2-A5B6-1FC247CBD943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B-37FF-47B2-A5B6-1FC247CBD943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D-37FF-47B2-A5B6-1FC247CBD943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F-37FF-47B2-A5B6-1FC247CBD943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1-37FF-47B2-A5B6-1FC247CBD943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3-37FF-47B2-A5B6-1FC247CBD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5-37FF-47B2-A5B6-1FC247CBD943}"/>
              </c:ext>
            </c:extLst>
          </c:dPt>
          <c:dPt>
            <c:idx val="7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7-37FF-47B2-A5B6-1FC247CBD943}"/>
              </c:ext>
            </c:extLst>
          </c:dPt>
          <c:dPt>
            <c:idx val="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9-37FF-47B2-A5B6-1FC247CBD943}"/>
              </c:ext>
            </c:extLst>
          </c:dPt>
          <c:dPt>
            <c:idx val="9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B-37FF-47B2-A5B6-1FC247CBD943}"/>
              </c:ext>
            </c:extLst>
          </c:dPt>
          <c:dPt>
            <c:idx val="1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D-37FF-47B2-A5B6-1FC247CBD943}"/>
              </c:ext>
            </c:extLst>
          </c:dPt>
          <c:dPt>
            <c:idx val="11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F-37FF-47B2-A5B6-1FC247CBD94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1-37FF-47B2-A5B6-1FC247CBD943}"/>
              </c:ext>
            </c:extLst>
          </c:dPt>
          <c:dPt>
            <c:idx val="13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3-37FF-47B2-A5B6-1FC247CBD943}"/>
              </c:ext>
            </c:extLst>
          </c:dPt>
          <c:dPt>
            <c:idx val="1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5-37FF-47B2-A5B6-1FC247CBD943}"/>
              </c:ext>
            </c:extLst>
          </c:dPt>
          <c:dPt>
            <c:idx val="15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7-37FF-47B2-A5B6-1FC247CBD943}"/>
              </c:ext>
            </c:extLst>
          </c:dPt>
          <c:dPt>
            <c:idx val="1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9-37FF-47B2-A5B6-1FC247CBD943}"/>
              </c:ext>
            </c:extLst>
          </c:dPt>
          <c:dPt>
            <c:idx val="17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B-37FF-47B2-A5B6-1FC247CBD943}"/>
              </c:ext>
            </c:extLst>
          </c:dPt>
          <c:dPt>
            <c:idx val="1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D-37FF-47B2-A5B6-1FC247CBD943}"/>
              </c:ext>
            </c:extLst>
          </c:dPt>
          <c:dPt>
            <c:idx val="19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F-37FF-47B2-A5B6-1FC247CBD943}"/>
              </c:ext>
            </c:extLst>
          </c:dPt>
          <c:dPt>
            <c:idx val="2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1-37FF-47B2-A5B6-1FC247CBD943}"/>
              </c:ext>
            </c:extLst>
          </c:dPt>
          <c:dPt>
            <c:idx val="21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3-37FF-47B2-A5B6-1FC247CBD943}"/>
              </c:ext>
            </c:extLst>
          </c:dPt>
          <c:dPt>
            <c:idx val="2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5-37FF-47B2-A5B6-1FC247CBD943}"/>
              </c:ext>
            </c:extLst>
          </c:dPt>
          <c:dPt>
            <c:idx val="23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7-37FF-47B2-A5B6-1FC247CBD943}"/>
              </c:ext>
            </c:extLst>
          </c:dPt>
          <c:dPt>
            <c:idx val="2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9-37FF-47B2-A5B6-1FC247CBD943}"/>
              </c:ext>
            </c:extLst>
          </c:dPt>
          <c:dPt>
            <c:idx val="25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B-37FF-47B2-A5B6-1FC247CBD943}"/>
              </c:ext>
            </c:extLst>
          </c:dPt>
          <c:dPt>
            <c:idx val="2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D-37FF-47B2-A5B6-1FC247CBD943}"/>
              </c:ext>
            </c:extLst>
          </c:dPt>
          <c:dPt>
            <c:idx val="27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F-37FF-47B2-A5B6-1FC247CBD943}"/>
              </c:ext>
            </c:extLst>
          </c:dPt>
          <c:dPt>
            <c:idx val="2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1-37FF-47B2-A5B6-1FC247CBD943}"/>
              </c:ext>
            </c:extLst>
          </c:dPt>
          <c:dPt>
            <c:idx val="29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3-37FF-47B2-A5B6-1FC247CBD943}"/>
              </c:ext>
            </c:extLst>
          </c:dPt>
          <c:dPt>
            <c:idx val="3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5-37FF-47B2-A5B6-1FC247CBD943}"/>
              </c:ext>
            </c:extLst>
          </c:dPt>
          <c:dPt>
            <c:idx val="31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7-37FF-47B2-A5B6-1FC247CBD943}"/>
              </c:ext>
            </c:extLst>
          </c:dPt>
          <c:dPt>
            <c:idx val="3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9-37FF-47B2-A5B6-1FC247CBD943}"/>
              </c:ext>
            </c:extLst>
          </c:dPt>
          <c:dPt>
            <c:idx val="33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B-37FF-47B2-A5B6-1FC247CBD943}"/>
              </c:ext>
            </c:extLst>
          </c:dPt>
          <c:dPt>
            <c:idx val="3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D-37FF-47B2-A5B6-1FC247CBD943}"/>
              </c:ext>
            </c:extLst>
          </c:dPt>
          <c:dPt>
            <c:idx val="35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F-37FF-47B2-A5B6-1FC247CBD943}"/>
              </c:ext>
            </c:extLst>
          </c:dPt>
          <c:dPt>
            <c:idx val="3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1-37FF-47B2-A5B6-1FC247CBD943}"/>
              </c:ext>
            </c:extLst>
          </c:dPt>
          <c:dPt>
            <c:idx val="37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3-37FF-47B2-A5B6-1FC247CBD943}"/>
              </c:ext>
            </c:extLst>
          </c:dPt>
          <c:cat>
            <c:strRef>
              <c:f>Sheet3!$A$6:$A$44</c:f>
              <c:strCache>
                <c:ptCount val="38"/>
                <c:pt idx="0">
                  <c:v>41500</c:v>
                </c:pt>
                <c:pt idx="1">
                  <c:v>41800</c:v>
                </c:pt>
                <c:pt idx="2">
                  <c:v>41900</c:v>
                </c:pt>
                <c:pt idx="3">
                  <c:v>43000</c:v>
                </c:pt>
                <c:pt idx="4">
                  <c:v>43800</c:v>
                </c:pt>
                <c:pt idx="5">
                  <c:v>43900</c:v>
                </c:pt>
                <c:pt idx="6">
                  <c:v>44000</c:v>
                </c:pt>
                <c:pt idx="7">
                  <c:v>44200</c:v>
                </c:pt>
                <c:pt idx="8">
                  <c:v>44500</c:v>
                </c:pt>
                <c:pt idx="9">
                  <c:v>44600</c:v>
                </c:pt>
                <c:pt idx="10">
                  <c:v>45100</c:v>
                </c:pt>
                <c:pt idx="11">
                  <c:v>46000</c:v>
                </c:pt>
                <c:pt idx="12">
                  <c:v>46300</c:v>
                </c:pt>
                <c:pt idx="13">
                  <c:v>47500</c:v>
                </c:pt>
                <c:pt idx="14">
                  <c:v>48000</c:v>
                </c:pt>
                <c:pt idx="15">
                  <c:v>49200</c:v>
                </c:pt>
                <c:pt idx="16">
                  <c:v>50000</c:v>
                </c:pt>
                <c:pt idx="17">
                  <c:v>50100</c:v>
                </c:pt>
                <c:pt idx="18">
                  <c:v>50500</c:v>
                </c:pt>
                <c:pt idx="19">
                  <c:v>52000</c:v>
                </c:pt>
                <c:pt idx="20">
                  <c:v>52200</c:v>
                </c:pt>
                <c:pt idx="21">
                  <c:v>53000</c:v>
                </c:pt>
                <c:pt idx="22">
                  <c:v>53300</c:v>
                </c:pt>
                <c:pt idx="23">
                  <c:v>54200</c:v>
                </c:pt>
                <c:pt idx="24">
                  <c:v>54500</c:v>
                </c:pt>
                <c:pt idx="25">
                  <c:v>56300</c:v>
                </c:pt>
                <c:pt idx="26">
                  <c:v>57000</c:v>
                </c:pt>
                <c:pt idx="27">
                  <c:v>57700</c:v>
                </c:pt>
                <c:pt idx="28">
                  <c:v>59500</c:v>
                </c:pt>
                <c:pt idx="29">
                  <c:v>68000</c:v>
                </c:pt>
                <c:pt idx="30">
                  <c:v>71200</c:v>
                </c:pt>
                <c:pt idx="31">
                  <c:v>72300</c:v>
                </c:pt>
                <c:pt idx="32">
                  <c:v>74000</c:v>
                </c:pt>
                <c:pt idx="33">
                  <c:v>76500</c:v>
                </c:pt>
                <c:pt idx="34">
                  <c:v>78000</c:v>
                </c:pt>
                <c:pt idx="35">
                  <c:v>80000</c:v>
                </c:pt>
                <c:pt idx="36">
                  <c:v>81500</c:v>
                </c:pt>
                <c:pt idx="37">
                  <c:v>83000</c:v>
                </c:pt>
              </c:strCache>
            </c:strRef>
          </c:cat>
          <c:val>
            <c:numRef>
              <c:f>Sheet3!$D$6:$D$44</c:f>
              <c:numCache>
                <c:formatCode>General</c:formatCode>
                <c:ptCount val="38"/>
                <c:pt idx="0">
                  <c:v>5500</c:v>
                </c:pt>
                <c:pt idx="1">
                  <c:v>4800</c:v>
                </c:pt>
                <c:pt idx="2">
                  <c:v>4900</c:v>
                </c:pt>
                <c:pt idx="3">
                  <c:v>3000</c:v>
                </c:pt>
                <c:pt idx="4">
                  <c:v>5300</c:v>
                </c:pt>
                <c:pt idx="5">
                  <c:v>3400</c:v>
                </c:pt>
                <c:pt idx="6">
                  <c:v>11000</c:v>
                </c:pt>
                <c:pt idx="7">
                  <c:v>5200</c:v>
                </c:pt>
                <c:pt idx="8">
                  <c:v>7000</c:v>
                </c:pt>
                <c:pt idx="9">
                  <c:v>5100</c:v>
                </c:pt>
                <c:pt idx="10">
                  <c:v>3600</c:v>
                </c:pt>
                <c:pt idx="11">
                  <c:v>4000</c:v>
                </c:pt>
                <c:pt idx="12">
                  <c:v>3800</c:v>
                </c:pt>
                <c:pt idx="13">
                  <c:v>4500</c:v>
                </c:pt>
                <c:pt idx="14">
                  <c:v>4000</c:v>
                </c:pt>
                <c:pt idx="15">
                  <c:v>4200</c:v>
                </c:pt>
                <c:pt idx="16">
                  <c:v>5000</c:v>
                </c:pt>
                <c:pt idx="17">
                  <c:v>4600</c:v>
                </c:pt>
                <c:pt idx="18">
                  <c:v>4500</c:v>
                </c:pt>
                <c:pt idx="19">
                  <c:v>5000</c:v>
                </c:pt>
                <c:pt idx="20">
                  <c:v>6200</c:v>
                </c:pt>
                <c:pt idx="21">
                  <c:v>6000</c:v>
                </c:pt>
                <c:pt idx="22">
                  <c:v>5300</c:v>
                </c:pt>
                <c:pt idx="23">
                  <c:v>5200</c:v>
                </c:pt>
                <c:pt idx="24">
                  <c:v>6500</c:v>
                </c:pt>
                <c:pt idx="25">
                  <c:v>6800</c:v>
                </c:pt>
                <c:pt idx="26">
                  <c:v>7000</c:v>
                </c:pt>
                <c:pt idx="27">
                  <c:v>7200</c:v>
                </c:pt>
                <c:pt idx="28">
                  <c:v>7500</c:v>
                </c:pt>
                <c:pt idx="29">
                  <c:v>8000</c:v>
                </c:pt>
                <c:pt idx="30">
                  <c:v>8200</c:v>
                </c:pt>
                <c:pt idx="31">
                  <c:v>8300</c:v>
                </c:pt>
                <c:pt idx="32">
                  <c:v>9000</c:v>
                </c:pt>
                <c:pt idx="33">
                  <c:v>8500</c:v>
                </c:pt>
                <c:pt idx="34">
                  <c:v>9000</c:v>
                </c:pt>
                <c:pt idx="35">
                  <c:v>10000</c:v>
                </c:pt>
                <c:pt idx="36">
                  <c:v>10500</c:v>
                </c:pt>
                <c:pt idx="37">
                  <c:v>11000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A2-40F9-9705-18EB6BBAF602}"/>
            </c:ext>
          </c:extLst>
        </c:ser>
        <c:ser>
          <c:idx val="3"/>
          <c:order val="3"/>
          <c:tx>
            <c:strRef>
              <c:f>Sheet3!$E$5</c:f>
              <c:strCache>
                <c:ptCount val="1"/>
                <c:pt idx="0">
                  <c:v>Count of City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5-37FF-47B2-A5B6-1FC247CBD943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7-37FF-47B2-A5B6-1FC247CBD943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9-37FF-47B2-A5B6-1FC247CBD943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B-37FF-47B2-A5B6-1FC247CBD943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D-37FF-47B2-A5B6-1FC247CBD943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F-37FF-47B2-A5B6-1FC247CBD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1-37FF-47B2-A5B6-1FC247CBD943}"/>
              </c:ext>
            </c:extLst>
          </c:dPt>
          <c:dPt>
            <c:idx val="7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3-37FF-47B2-A5B6-1FC247CBD943}"/>
              </c:ext>
            </c:extLst>
          </c:dPt>
          <c:dPt>
            <c:idx val="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5-37FF-47B2-A5B6-1FC247CBD943}"/>
              </c:ext>
            </c:extLst>
          </c:dPt>
          <c:dPt>
            <c:idx val="9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7-37FF-47B2-A5B6-1FC247CBD943}"/>
              </c:ext>
            </c:extLst>
          </c:dPt>
          <c:dPt>
            <c:idx val="1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9-37FF-47B2-A5B6-1FC247CBD943}"/>
              </c:ext>
            </c:extLst>
          </c:dPt>
          <c:dPt>
            <c:idx val="11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B-37FF-47B2-A5B6-1FC247CBD94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D-37FF-47B2-A5B6-1FC247CBD943}"/>
              </c:ext>
            </c:extLst>
          </c:dPt>
          <c:dPt>
            <c:idx val="13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F-37FF-47B2-A5B6-1FC247CBD943}"/>
              </c:ext>
            </c:extLst>
          </c:dPt>
          <c:dPt>
            <c:idx val="1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1-37FF-47B2-A5B6-1FC247CBD943}"/>
              </c:ext>
            </c:extLst>
          </c:dPt>
          <c:dPt>
            <c:idx val="15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3-37FF-47B2-A5B6-1FC247CBD943}"/>
              </c:ext>
            </c:extLst>
          </c:dPt>
          <c:dPt>
            <c:idx val="1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5-37FF-47B2-A5B6-1FC247CBD943}"/>
              </c:ext>
            </c:extLst>
          </c:dPt>
          <c:dPt>
            <c:idx val="17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7-37FF-47B2-A5B6-1FC247CBD943}"/>
              </c:ext>
            </c:extLst>
          </c:dPt>
          <c:dPt>
            <c:idx val="1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9-37FF-47B2-A5B6-1FC247CBD943}"/>
              </c:ext>
            </c:extLst>
          </c:dPt>
          <c:dPt>
            <c:idx val="19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B-37FF-47B2-A5B6-1FC247CBD943}"/>
              </c:ext>
            </c:extLst>
          </c:dPt>
          <c:dPt>
            <c:idx val="2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D-37FF-47B2-A5B6-1FC247CBD943}"/>
              </c:ext>
            </c:extLst>
          </c:dPt>
          <c:dPt>
            <c:idx val="21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F-37FF-47B2-A5B6-1FC247CBD943}"/>
              </c:ext>
            </c:extLst>
          </c:dPt>
          <c:dPt>
            <c:idx val="2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1-37FF-47B2-A5B6-1FC247CBD943}"/>
              </c:ext>
            </c:extLst>
          </c:dPt>
          <c:dPt>
            <c:idx val="23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3-37FF-47B2-A5B6-1FC247CBD943}"/>
              </c:ext>
            </c:extLst>
          </c:dPt>
          <c:dPt>
            <c:idx val="2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5-37FF-47B2-A5B6-1FC247CBD943}"/>
              </c:ext>
            </c:extLst>
          </c:dPt>
          <c:dPt>
            <c:idx val="25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7-37FF-47B2-A5B6-1FC247CBD943}"/>
              </c:ext>
            </c:extLst>
          </c:dPt>
          <c:dPt>
            <c:idx val="2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9-37FF-47B2-A5B6-1FC247CBD943}"/>
              </c:ext>
            </c:extLst>
          </c:dPt>
          <c:dPt>
            <c:idx val="27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B-37FF-47B2-A5B6-1FC247CBD943}"/>
              </c:ext>
            </c:extLst>
          </c:dPt>
          <c:dPt>
            <c:idx val="2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D-37FF-47B2-A5B6-1FC247CBD943}"/>
              </c:ext>
            </c:extLst>
          </c:dPt>
          <c:dPt>
            <c:idx val="29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F-37FF-47B2-A5B6-1FC247CBD943}"/>
              </c:ext>
            </c:extLst>
          </c:dPt>
          <c:dPt>
            <c:idx val="3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1-37FF-47B2-A5B6-1FC247CBD943}"/>
              </c:ext>
            </c:extLst>
          </c:dPt>
          <c:dPt>
            <c:idx val="31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3-37FF-47B2-A5B6-1FC247CBD943}"/>
              </c:ext>
            </c:extLst>
          </c:dPt>
          <c:dPt>
            <c:idx val="3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5-37FF-47B2-A5B6-1FC247CBD943}"/>
              </c:ext>
            </c:extLst>
          </c:dPt>
          <c:dPt>
            <c:idx val="33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7-37FF-47B2-A5B6-1FC247CBD943}"/>
              </c:ext>
            </c:extLst>
          </c:dPt>
          <c:dPt>
            <c:idx val="3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9-37FF-47B2-A5B6-1FC247CBD943}"/>
              </c:ext>
            </c:extLst>
          </c:dPt>
          <c:dPt>
            <c:idx val="35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B-37FF-47B2-A5B6-1FC247CBD943}"/>
              </c:ext>
            </c:extLst>
          </c:dPt>
          <c:dPt>
            <c:idx val="3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D-37FF-47B2-A5B6-1FC247CBD943}"/>
              </c:ext>
            </c:extLst>
          </c:dPt>
          <c:dPt>
            <c:idx val="37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F-37FF-47B2-A5B6-1FC247CBD943}"/>
              </c:ext>
            </c:extLst>
          </c:dPt>
          <c:cat>
            <c:strRef>
              <c:f>Sheet3!$A$6:$A$44</c:f>
              <c:strCache>
                <c:ptCount val="38"/>
                <c:pt idx="0">
                  <c:v>41500</c:v>
                </c:pt>
                <c:pt idx="1">
                  <c:v>41800</c:v>
                </c:pt>
                <c:pt idx="2">
                  <c:v>41900</c:v>
                </c:pt>
                <c:pt idx="3">
                  <c:v>43000</c:v>
                </c:pt>
                <c:pt idx="4">
                  <c:v>43800</c:v>
                </c:pt>
                <c:pt idx="5">
                  <c:v>43900</c:v>
                </c:pt>
                <c:pt idx="6">
                  <c:v>44000</c:v>
                </c:pt>
                <c:pt idx="7">
                  <c:v>44200</c:v>
                </c:pt>
                <c:pt idx="8">
                  <c:v>44500</c:v>
                </c:pt>
                <c:pt idx="9">
                  <c:v>44600</c:v>
                </c:pt>
                <c:pt idx="10">
                  <c:v>45100</c:v>
                </c:pt>
                <c:pt idx="11">
                  <c:v>46000</c:v>
                </c:pt>
                <c:pt idx="12">
                  <c:v>46300</c:v>
                </c:pt>
                <c:pt idx="13">
                  <c:v>47500</c:v>
                </c:pt>
                <c:pt idx="14">
                  <c:v>48000</c:v>
                </c:pt>
                <c:pt idx="15">
                  <c:v>49200</c:v>
                </c:pt>
                <c:pt idx="16">
                  <c:v>50000</c:v>
                </c:pt>
                <c:pt idx="17">
                  <c:v>50100</c:v>
                </c:pt>
                <c:pt idx="18">
                  <c:v>50500</c:v>
                </c:pt>
                <c:pt idx="19">
                  <c:v>52000</c:v>
                </c:pt>
                <c:pt idx="20">
                  <c:v>52200</c:v>
                </c:pt>
                <c:pt idx="21">
                  <c:v>53000</c:v>
                </c:pt>
                <c:pt idx="22">
                  <c:v>53300</c:v>
                </c:pt>
                <c:pt idx="23">
                  <c:v>54200</c:v>
                </c:pt>
                <c:pt idx="24">
                  <c:v>54500</c:v>
                </c:pt>
                <c:pt idx="25">
                  <c:v>56300</c:v>
                </c:pt>
                <c:pt idx="26">
                  <c:v>57000</c:v>
                </c:pt>
                <c:pt idx="27">
                  <c:v>57700</c:v>
                </c:pt>
                <c:pt idx="28">
                  <c:v>59500</c:v>
                </c:pt>
                <c:pt idx="29">
                  <c:v>68000</c:v>
                </c:pt>
                <c:pt idx="30">
                  <c:v>71200</c:v>
                </c:pt>
                <c:pt idx="31">
                  <c:v>72300</c:v>
                </c:pt>
                <c:pt idx="32">
                  <c:v>74000</c:v>
                </c:pt>
                <c:pt idx="33">
                  <c:v>76500</c:v>
                </c:pt>
                <c:pt idx="34">
                  <c:v>78000</c:v>
                </c:pt>
                <c:pt idx="35">
                  <c:v>80000</c:v>
                </c:pt>
                <c:pt idx="36">
                  <c:v>81500</c:v>
                </c:pt>
                <c:pt idx="37">
                  <c:v>83000</c:v>
                </c:pt>
              </c:strCache>
            </c:strRef>
          </c:cat>
          <c:val>
            <c:numRef>
              <c:f>Sheet3!$E$6:$E$44</c:f>
              <c:numCache>
                <c:formatCode>General</c:formatCode>
                <c:ptCount val="3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A2-40F9-9705-18EB6BBAF602}"/>
            </c:ext>
          </c:extLst>
        </c:ser>
        <c:ser>
          <c:idx val="4"/>
          <c:order val="4"/>
          <c:tx>
            <c:strRef>
              <c:f>Sheet3!$F$5</c:f>
              <c:strCache>
                <c:ptCount val="1"/>
                <c:pt idx="0">
                  <c:v>Count of STATUS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1-37FF-47B2-A5B6-1FC247CBD943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3-37FF-47B2-A5B6-1FC247CBD943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5-37FF-47B2-A5B6-1FC247CBD943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7-37FF-47B2-A5B6-1FC247CBD943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9-37FF-47B2-A5B6-1FC247CBD943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B-37FF-47B2-A5B6-1FC247CBD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D-37FF-47B2-A5B6-1FC247CBD943}"/>
              </c:ext>
            </c:extLst>
          </c:dPt>
          <c:dPt>
            <c:idx val="7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F-37FF-47B2-A5B6-1FC247CBD943}"/>
              </c:ext>
            </c:extLst>
          </c:dPt>
          <c:dPt>
            <c:idx val="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1-37FF-47B2-A5B6-1FC247CBD943}"/>
              </c:ext>
            </c:extLst>
          </c:dPt>
          <c:dPt>
            <c:idx val="9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3-37FF-47B2-A5B6-1FC247CBD943}"/>
              </c:ext>
            </c:extLst>
          </c:dPt>
          <c:dPt>
            <c:idx val="1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5-37FF-47B2-A5B6-1FC247CBD943}"/>
              </c:ext>
            </c:extLst>
          </c:dPt>
          <c:dPt>
            <c:idx val="11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7-37FF-47B2-A5B6-1FC247CBD94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9-37FF-47B2-A5B6-1FC247CBD943}"/>
              </c:ext>
            </c:extLst>
          </c:dPt>
          <c:dPt>
            <c:idx val="13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B-37FF-47B2-A5B6-1FC247CBD943}"/>
              </c:ext>
            </c:extLst>
          </c:dPt>
          <c:dPt>
            <c:idx val="1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D-37FF-47B2-A5B6-1FC247CBD943}"/>
              </c:ext>
            </c:extLst>
          </c:dPt>
          <c:dPt>
            <c:idx val="15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F-37FF-47B2-A5B6-1FC247CBD943}"/>
              </c:ext>
            </c:extLst>
          </c:dPt>
          <c:dPt>
            <c:idx val="1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1-37FF-47B2-A5B6-1FC247CBD943}"/>
              </c:ext>
            </c:extLst>
          </c:dPt>
          <c:dPt>
            <c:idx val="17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3-37FF-47B2-A5B6-1FC247CBD943}"/>
              </c:ext>
            </c:extLst>
          </c:dPt>
          <c:dPt>
            <c:idx val="1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5-37FF-47B2-A5B6-1FC247CBD943}"/>
              </c:ext>
            </c:extLst>
          </c:dPt>
          <c:dPt>
            <c:idx val="19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7-37FF-47B2-A5B6-1FC247CBD943}"/>
              </c:ext>
            </c:extLst>
          </c:dPt>
          <c:dPt>
            <c:idx val="2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9-37FF-47B2-A5B6-1FC247CBD943}"/>
              </c:ext>
            </c:extLst>
          </c:dPt>
          <c:dPt>
            <c:idx val="21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B-37FF-47B2-A5B6-1FC247CBD943}"/>
              </c:ext>
            </c:extLst>
          </c:dPt>
          <c:dPt>
            <c:idx val="2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D-37FF-47B2-A5B6-1FC247CBD943}"/>
              </c:ext>
            </c:extLst>
          </c:dPt>
          <c:dPt>
            <c:idx val="23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F-37FF-47B2-A5B6-1FC247CBD943}"/>
              </c:ext>
            </c:extLst>
          </c:dPt>
          <c:dPt>
            <c:idx val="2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1-37FF-47B2-A5B6-1FC247CBD943}"/>
              </c:ext>
            </c:extLst>
          </c:dPt>
          <c:dPt>
            <c:idx val="25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3-37FF-47B2-A5B6-1FC247CBD943}"/>
              </c:ext>
            </c:extLst>
          </c:dPt>
          <c:dPt>
            <c:idx val="2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5-37FF-47B2-A5B6-1FC247CBD943}"/>
              </c:ext>
            </c:extLst>
          </c:dPt>
          <c:dPt>
            <c:idx val="27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7-37FF-47B2-A5B6-1FC247CBD943}"/>
              </c:ext>
            </c:extLst>
          </c:dPt>
          <c:dPt>
            <c:idx val="2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9-37FF-47B2-A5B6-1FC247CBD943}"/>
              </c:ext>
            </c:extLst>
          </c:dPt>
          <c:dPt>
            <c:idx val="29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B-37FF-47B2-A5B6-1FC247CBD943}"/>
              </c:ext>
            </c:extLst>
          </c:dPt>
          <c:dPt>
            <c:idx val="3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D-37FF-47B2-A5B6-1FC247CBD943}"/>
              </c:ext>
            </c:extLst>
          </c:dPt>
          <c:dPt>
            <c:idx val="31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F-37FF-47B2-A5B6-1FC247CBD943}"/>
              </c:ext>
            </c:extLst>
          </c:dPt>
          <c:dPt>
            <c:idx val="3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1-37FF-47B2-A5B6-1FC247CBD943}"/>
              </c:ext>
            </c:extLst>
          </c:dPt>
          <c:dPt>
            <c:idx val="33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3-37FF-47B2-A5B6-1FC247CBD943}"/>
              </c:ext>
            </c:extLst>
          </c:dPt>
          <c:dPt>
            <c:idx val="3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5-37FF-47B2-A5B6-1FC247CBD943}"/>
              </c:ext>
            </c:extLst>
          </c:dPt>
          <c:dPt>
            <c:idx val="35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7-37FF-47B2-A5B6-1FC247CBD943}"/>
              </c:ext>
            </c:extLst>
          </c:dPt>
          <c:dPt>
            <c:idx val="3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9-37FF-47B2-A5B6-1FC247CBD943}"/>
              </c:ext>
            </c:extLst>
          </c:dPt>
          <c:dPt>
            <c:idx val="37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B-37FF-47B2-A5B6-1FC247CBD943}"/>
              </c:ext>
            </c:extLst>
          </c:dPt>
          <c:cat>
            <c:strRef>
              <c:f>Sheet3!$A$6:$A$44</c:f>
              <c:strCache>
                <c:ptCount val="38"/>
                <c:pt idx="0">
                  <c:v>41500</c:v>
                </c:pt>
                <c:pt idx="1">
                  <c:v>41800</c:v>
                </c:pt>
                <c:pt idx="2">
                  <c:v>41900</c:v>
                </c:pt>
                <c:pt idx="3">
                  <c:v>43000</c:v>
                </c:pt>
                <c:pt idx="4">
                  <c:v>43800</c:v>
                </c:pt>
                <c:pt idx="5">
                  <c:v>43900</c:v>
                </c:pt>
                <c:pt idx="6">
                  <c:v>44000</c:v>
                </c:pt>
                <c:pt idx="7">
                  <c:v>44200</c:v>
                </c:pt>
                <c:pt idx="8">
                  <c:v>44500</c:v>
                </c:pt>
                <c:pt idx="9">
                  <c:v>44600</c:v>
                </c:pt>
                <c:pt idx="10">
                  <c:v>45100</c:v>
                </c:pt>
                <c:pt idx="11">
                  <c:v>46000</c:v>
                </c:pt>
                <c:pt idx="12">
                  <c:v>46300</c:v>
                </c:pt>
                <c:pt idx="13">
                  <c:v>47500</c:v>
                </c:pt>
                <c:pt idx="14">
                  <c:v>48000</c:v>
                </c:pt>
                <c:pt idx="15">
                  <c:v>49200</c:v>
                </c:pt>
                <c:pt idx="16">
                  <c:v>50000</c:v>
                </c:pt>
                <c:pt idx="17">
                  <c:v>50100</c:v>
                </c:pt>
                <c:pt idx="18">
                  <c:v>50500</c:v>
                </c:pt>
                <c:pt idx="19">
                  <c:v>52000</c:v>
                </c:pt>
                <c:pt idx="20">
                  <c:v>52200</c:v>
                </c:pt>
                <c:pt idx="21">
                  <c:v>53000</c:v>
                </c:pt>
                <c:pt idx="22">
                  <c:v>53300</c:v>
                </c:pt>
                <c:pt idx="23">
                  <c:v>54200</c:v>
                </c:pt>
                <c:pt idx="24">
                  <c:v>54500</c:v>
                </c:pt>
                <c:pt idx="25">
                  <c:v>56300</c:v>
                </c:pt>
                <c:pt idx="26">
                  <c:v>57000</c:v>
                </c:pt>
                <c:pt idx="27">
                  <c:v>57700</c:v>
                </c:pt>
                <c:pt idx="28">
                  <c:v>59500</c:v>
                </c:pt>
                <c:pt idx="29">
                  <c:v>68000</c:v>
                </c:pt>
                <c:pt idx="30">
                  <c:v>71200</c:v>
                </c:pt>
                <c:pt idx="31">
                  <c:v>72300</c:v>
                </c:pt>
                <c:pt idx="32">
                  <c:v>74000</c:v>
                </c:pt>
                <c:pt idx="33">
                  <c:v>76500</c:v>
                </c:pt>
                <c:pt idx="34">
                  <c:v>78000</c:v>
                </c:pt>
                <c:pt idx="35">
                  <c:v>80000</c:v>
                </c:pt>
                <c:pt idx="36">
                  <c:v>81500</c:v>
                </c:pt>
                <c:pt idx="37">
                  <c:v>83000</c:v>
                </c:pt>
              </c:strCache>
            </c:strRef>
          </c:cat>
          <c:val>
            <c:numRef>
              <c:f>Sheet3!$F$6:$F$44</c:f>
              <c:numCache>
                <c:formatCode>General</c:formatCode>
                <c:ptCount val="3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A2-40F9-9705-18EB6BBAF602}"/>
            </c:ext>
          </c:extLst>
        </c:ser>
        <c:ser>
          <c:idx val="5"/>
          <c:order val="5"/>
          <c:tx>
            <c:strRef>
              <c:f>Sheet3!$G$5</c:f>
              <c:strCache>
                <c:ptCount val="1"/>
                <c:pt idx="0">
                  <c:v>Count of Employee Name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D-37FF-47B2-A5B6-1FC247CBD943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F-37FF-47B2-A5B6-1FC247CBD943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1-37FF-47B2-A5B6-1FC247CBD943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3-37FF-47B2-A5B6-1FC247CBD943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5-37FF-47B2-A5B6-1FC247CBD943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7-37FF-47B2-A5B6-1FC247CBD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9-37FF-47B2-A5B6-1FC247CBD943}"/>
              </c:ext>
            </c:extLst>
          </c:dPt>
          <c:dPt>
            <c:idx val="7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B-37FF-47B2-A5B6-1FC247CBD943}"/>
              </c:ext>
            </c:extLst>
          </c:dPt>
          <c:dPt>
            <c:idx val="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D-37FF-47B2-A5B6-1FC247CBD943}"/>
              </c:ext>
            </c:extLst>
          </c:dPt>
          <c:dPt>
            <c:idx val="9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F-37FF-47B2-A5B6-1FC247CBD943}"/>
              </c:ext>
            </c:extLst>
          </c:dPt>
          <c:dPt>
            <c:idx val="1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1-37FF-47B2-A5B6-1FC247CBD943}"/>
              </c:ext>
            </c:extLst>
          </c:dPt>
          <c:dPt>
            <c:idx val="11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3-37FF-47B2-A5B6-1FC247CBD94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5-37FF-47B2-A5B6-1FC247CBD943}"/>
              </c:ext>
            </c:extLst>
          </c:dPt>
          <c:dPt>
            <c:idx val="13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7-37FF-47B2-A5B6-1FC247CBD943}"/>
              </c:ext>
            </c:extLst>
          </c:dPt>
          <c:dPt>
            <c:idx val="1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9-37FF-47B2-A5B6-1FC247CBD943}"/>
              </c:ext>
            </c:extLst>
          </c:dPt>
          <c:dPt>
            <c:idx val="15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B-37FF-47B2-A5B6-1FC247CBD943}"/>
              </c:ext>
            </c:extLst>
          </c:dPt>
          <c:dPt>
            <c:idx val="1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D-37FF-47B2-A5B6-1FC247CBD943}"/>
              </c:ext>
            </c:extLst>
          </c:dPt>
          <c:dPt>
            <c:idx val="17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F-37FF-47B2-A5B6-1FC247CBD943}"/>
              </c:ext>
            </c:extLst>
          </c:dPt>
          <c:dPt>
            <c:idx val="1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1-37FF-47B2-A5B6-1FC247CBD943}"/>
              </c:ext>
            </c:extLst>
          </c:dPt>
          <c:dPt>
            <c:idx val="19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3-37FF-47B2-A5B6-1FC247CBD943}"/>
              </c:ext>
            </c:extLst>
          </c:dPt>
          <c:dPt>
            <c:idx val="2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5-37FF-47B2-A5B6-1FC247CBD943}"/>
              </c:ext>
            </c:extLst>
          </c:dPt>
          <c:dPt>
            <c:idx val="21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7-37FF-47B2-A5B6-1FC247CBD943}"/>
              </c:ext>
            </c:extLst>
          </c:dPt>
          <c:dPt>
            <c:idx val="2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9-37FF-47B2-A5B6-1FC247CBD943}"/>
              </c:ext>
            </c:extLst>
          </c:dPt>
          <c:dPt>
            <c:idx val="23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B-37FF-47B2-A5B6-1FC247CBD943}"/>
              </c:ext>
            </c:extLst>
          </c:dPt>
          <c:dPt>
            <c:idx val="2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D-37FF-47B2-A5B6-1FC247CBD943}"/>
              </c:ext>
            </c:extLst>
          </c:dPt>
          <c:dPt>
            <c:idx val="25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F-37FF-47B2-A5B6-1FC247CBD943}"/>
              </c:ext>
            </c:extLst>
          </c:dPt>
          <c:dPt>
            <c:idx val="2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1-37FF-47B2-A5B6-1FC247CBD943}"/>
              </c:ext>
            </c:extLst>
          </c:dPt>
          <c:dPt>
            <c:idx val="27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3-37FF-47B2-A5B6-1FC247CBD943}"/>
              </c:ext>
            </c:extLst>
          </c:dPt>
          <c:dPt>
            <c:idx val="2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5-37FF-47B2-A5B6-1FC247CBD943}"/>
              </c:ext>
            </c:extLst>
          </c:dPt>
          <c:dPt>
            <c:idx val="29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7-37FF-47B2-A5B6-1FC247CBD943}"/>
              </c:ext>
            </c:extLst>
          </c:dPt>
          <c:dPt>
            <c:idx val="3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9-37FF-47B2-A5B6-1FC247CBD943}"/>
              </c:ext>
            </c:extLst>
          </c:dPt>
          <c:dPt>
            <c:idx val="31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B-37FF-47B2-A5B6-1FC247CBD943}"/>
              </c:ext>
            </c:extLst>
          </c:dPt>
          <c:dPt>
            <c:idx val="3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D-37FF-47B2-A5B6-1FC247CBD943}"/>
              </c:ext>
            </c:extLst>
          </c:dPt>
          <c:dPt>
            <c:idx val="33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F-37FF-47B2-A5B6-1FC247CBD943}"/>
              </c:ext>
            </c:extLst>
          </c:dPt>
          <c:dPt>
            <c:idx val="3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1-37FF-47B2-A5B6-1FC247CBD943}"/>
              </c:ext>
            </c:extLst>
          </c:dPt>
          <c:dPt>
            <c:idx val="35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3-37FF-47B2-A5B6-1FC247CBD943}"/>
              </c:ext>
            </c:extLst>
          </c:dPt>
          <c:dPt>
            <c:idx val="3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5-37FF-47B2-A5B6-1FC247CBD943}"/>
              </c:ext>
            </c:extLst>
          </c:dPt>
          <c:dPt>
            <c:idx val="37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7-37FF-47B2-A5B6-1FC247CBD943}"/>
              </c:ext>
            </c:extLst>
          </c:dPt>
          <c:cat>
            <c:strRef>
              <c:f>Sheet3!$A$6:$A$44</c:f>
              <c:strCache>
                <c:ptCount val="38"/>
                <c:pt idx="0">
                  <c:v>41500</c:v>
                </c:pt>
                <c:pt idx="1">
                  <c:v>41800</c:v>
                </c:pt>
                <c:pt idx="2">
                  <c:v>41900</c:v>
                </c:pt>
                <c:pt idx="3">
                  <c:v>43000</c:v>
                </c:pt>
                <c:pt idx="4">
                  <c:v>43800</c:v>
                </c:pt>
                <c:pt idx="5">
                  <c:v>43900</c:v>
                </c:pt>
                <c:pt idx="6">
                  <c:v>44000</c:v>
                </c:pt>
                <c:pt idx="7">
                  <c:v>44200</c:v>
                </c:pt>
                <c:pt idx="8">
                  <c:v>44500</c:v>
                </c:pt>
                <c:pt idx="9">
                  <c:v>44600</c:v>
                </c:pt>
                <c:pt idx="10">
                  <c:v>45100</c:v>
                </c:pt>
                <c:pt idx="11">
                  <c:v>46000</c:v>
                </c:pt>
                <c:pt idx="12">
                  <c:v>46300</c:v>
                </c:pt>
                <c:pt idx="13">
                  <c:v>47500</c:v>
                </c:pt>
                <c:pt idx="14">
                  <c:v>48000</c:v>
                </c:pt>
                <c:pt idx="15">
                  <c:v>49200</c:v>
                </c:pt>
                <c:pt idx="16">
                  <c:v>50000</c:v>
                </c:pt>
                <c:pt idx="17">
                  <c:v>50100</c:v>
                </c:pt>
                <c:pt idx="18">
                  <c:v>50500</c:v>
                </c:pt>
                <c:pt idx="19">
                  <c:v>52000</c:v>
                </c:pt>
                <c:pt idx="20">
                  <c:v>52200</c:v>
                </c:pt>
                <c:pt idx="21">
                  <c:v>53000</c:v>
                </c:pt>
                <c:pt idx="22">
                  <c:v>53300</c:v>
                </c:pt>
                <c:pt idx="23">
                  <c:v>54200</c:v>
                </c:pt>
                <c:pt idx="24">
                  <c:v>54500</c:v>
                </c:pt>
                <c:pt idx="25">
                  <c:v>56300</c:v>
                </c:pt>
                <c:pt idx="26">
                  <c:v>57000</c:v>
                </c:pt>
                <c:pt idx="27">
                  <c:v>57700</c:v>
                </c:pt>
                <c:pt idx="28">
                  <c:v>59500</c:v>
                </c:pt>
                <c:pt idx="29">
                  <c:v>68000</c:v>
                </c:pt>
                <c:pt idx="30">
                  <c:v>71200</c:v>
                </c:pt>
                <c:pt idx="31">
                  <c:v>72300</c:v>
                </c:pt>
                <c:pt idx="32">
                  <c:v>74000</c:v>
                </c:pt>
                <c:pt idx="33">
                  <c:v>76500</c:v>
                </c:pt>
                <c:pt idx="34">
                  <c:v>78000</c:v>
                </c:pt>
                <c:pt idx="35">
                  <c:v>80000</c:v>
                </c:pt>
                <c:pt idx="36">
                  <c:v>81500</c:v>
                </c:pt>
                <c:pt idx="37">
                  <c:v>83000</c:v>
                </c:pt>
              </c:strCache>
            </c:strRef>
          </c:cat>
          <c:val>
            <c:numRef>
              <c:f>Sheet3!$G$6:$G$44</c:f>
              <c:numCache>
                <c:formatCode>General</c:formatCode>
                <c:ptCount val="3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FA2-40F9-9705-18EB6BBAF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752474</xdr:colOff>
      <xdr:row>8</xdr:row>
      <xdr:rowOff>104775</xdr:rowOff>
    </xdr:from>
    <xdr:to>
      <xdr:col>17</xdr:col>
      <xdr:colOff>561974</xdr:colOff>
      <xdr:row>13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A8FE2D-572F-A5EE-9F55-84F221B272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333374</xdr:colOff>
      <xdr:row>4</xdr:row>
      <xdr:rowOff>133350</xdr:rowOff>
    </xdr:from>
    <xdr:to>
      <xdr:col>12</xdr:col>
      <xdr:colOff>123824</xdr:colOff>
      <xdr:row>18</xdr:row>
      <xdr:rowOff>109536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254FA1-08A6-7C94-C3E6-68CCFB9D47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53.682435648145" createdVersion="8" refreshedVersion="8" minRefreshableVersion="3" recordCount="40" xr:uid="{BB586DD0-F2FC-4171-A677-A88C2DC8DFA1}">
  <cacheSource type="worksheet">
    <worksheetSource ref="A1:I41" sheet="Sheet1"/>
  </cacheSource>
  <cacheFields count="9">
    <cacheField name="Emp ID" numFmtId="0">
      <sharedItems containsSemiMixedTypes="0" containsString="0" containsNumber="1" containsInteger="1" minValue="1001" maxValue="1040"/>
    </cacheField>
    <cacheField name="Employee Name" numFmtId="0">
      <sharedItems count="40">
        <s v="Ahmed Khan"/>
        <s v="Muhammad Ali"/>
        <s v="Ayesha Malik"/>
        <s v="Hassan Raza"/>
        <s v="Fatima Noor"/>
        <s v="Usman Tariq"/>
        <s v="Zainab Iqbal"/>
        <s v="Bilal Ahmed"/>
        <s v="Sara Khan"/>
        <s v="Abdul Rehman"/>
        <s v="Hira Sheikh"/>
        <s v="Salman Butt"/>
        <s v="Maryam Nawaz"/>
        <s v="Imran Siddiqui"/>
        <s v="Noor Fatima"/>
        <s v="Shahzad Ali"/>
        <s v="Anum Khalid"/>
        <s v="Fahad Mirza"/>
        <s v="Rabia Yousaf"/>
        <s v="Kamran Akhtar"/>
        <s v="Saad Hussain"/>
        <s v="Sana Riaz"/>
        <s v="Talha Mehmood"/>
        <s v="Mahnoor Shah"/>
        <s v="Waqas Anwar"/>
        <s v="Bushra Ansari"/>
        <s v="Adnan Qureshi"/>
        <s v="Laiba Aslam"/>
        <s v="Danish Farooq"/>
        <s v="Hammad Javed"/>
        <s v="Sidra Munir"/>
        <s v="Asadullah"/>
        <s v="Muneeba Rafi"/>
        <s v="Rizwan Haider"/>
        <s v="Iqra Aziz"/>
        <s v="Naveed Abbas"/>
        <s v="Kiran Akram"/>
        <s v="Shoaib Malik"/>
        <s v="Alina Sohail"/>
        <s v="Adeel Latif"/>
      </sharedItems>
    </cacheField>
    <cacheField name="Department" numFmtId="0">
      <sharedItems count="5">
        <s v="Accounts"/>
        <s v="IT"/>
        <s v="HR"/>
        <s v="Sales"/>
        <s v="Marketing"/>
      </sharedItems>
    </cacheField>
    <cacheField name="City" numFmtId="0">
      <sharedItems count="7">
        <s v="Karachi"/>
        <s v="Lahore"/>
        <s v="Islamabad"/>
        <s v="Rawalpindi"/>
        <s v="Faisalabad"/>
        <s v="Multan"/>
        <s v="Sialkot"/>
      </sharedItems>
    </cacheField>
    <cacheField name="Gender" numFmtId="0">
      <sharedItems count="2">
        <s v="Male"/>
        <s v="Female"/>
      </sharedItems>
    </cacheField>
    <cacheField name="Basic Salary" numFmtId="0">
      <sharedItems containsSemiMixedTypes="0" containsString="0" containsNumber="1" containsInteger="1" minValue="36000" maxValue="72000"/>
    </cacheField>
    <cacheField name="Allowance" numFmtId="0">
      <sharedItems containsSemiMixedTypes="0" containsString="0" containsNumber="1" containsInteger="1" minValue="3000" maxValue="11000"/>
    </cacheField>
    <cacheField name="Total Salary" numFmtId="0">
      <sharedItems containsSemiMixedTypes="0" containsString="0" containsNumber="1" containsInteger="1" minValue="41500" maxValue="83000" count="38">
        <n v="50000"/>
        <n v="68000"/>
        <n v="46000"/>
        <n v="44000"/>
        <n v="57000"/>
        <n v="74000"/>
        <n v="44500"/>
        <n v="50500"/>
        <n v="80000"/>
        <n v="54500"/>
        <n v="48000"/>
        <n v="47500"/>
        <n v="41500"/>
        <n v="53000"/>
        <n v="76500"/>
        <n v="43000"/>
        <n v="54200"/>
        <n v="41800"/>
        <n v="83000"/>
        <n v="59500"/>
        <n v="49200"/>
        <n v="43800"/>
        <n v="71200"/>
        <n v="56300"/>
        <n v="52000"/>
        <n v="46300"/>
        <n v="44600"/>
        <n v="78000"/>
        <n v="52200"/>
        <n v="53300"/>
        <n v="45100"/>
        <n v="41900"/>
        <n v="57700"/>
        <n v="72300"/>
        <n v="43900"/>
        <n v="50100"/>
        <n v="44200"/>
        <n v="81500"/>
      </sharedItems>
    </cacheField>
    <cacheField name="STATUS" numFmtId="0">
      <sharedItems count="4">
        <s v="A"/>
        <s v="B"/>
        <s v="C"/>
        <s v="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53.691302430554" createdVersion="8" refreshedVersion="8" minRefreshableVersion="3" recordCount="4" xr:uid="{44ADC2BB-EBF6-4215-A449-4D3FA41666B2}">
  <cacheSource type="worksheet">
    <worksheetSource ref="B1:G5" sheet="Sheet1"/>
  </cacheSource>
  <cacheFields count="6">
    <cacheField name="Employee Name" numFmtId="0">
      <sharedItems count="4">
        <s v="Ahmed Khan"/>
        <s v="Muhammad Ali"/>
        <s v="Ayesha Malik"/>
        <s v="Hassan Raza"/>
      </sharedItems>
    </cacheField>
    <cacheField name="Department" numFmtId="0">
      <sharedItems count="4">
        <s v="Accounts"/>
        <s v="IT"/>
        <s v="HR"/>
        <s v="Sales"/>
      </sharedItems>
    </cacheField>
    <cacheField name="City" numFmtId="0">
      <sharedItems count="3">
        <s v="Karachi"/>
        <s v="Lahore"/>
        <s v="Islamabad"/>
      </sharedItems>
    </cacheField>
    <cacheField name="Gender" numFmtId="0">
      <sharedItems count="2">
        <s v="Male"/>
        <s v="Female"/>
      </sharedItems>
    </cacheField>
    <cacheField name="Basic Salary" numFmtId="0">
      <sharedItems containsSemiMixedTypes="0" containsString="0" containsNumber="1" containsInteger="1" minValue="38000" maxValue="60000"/>
    </cacheField>
    <cacheField name="Allowance" numFmtId="0">
      <sharedItems containsSemiMixedTypes="0" containsString="0" containsNumber="1" containsInteger="1" minValue="4000" maxValue="8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1001"/>
    <x v="0"/>
    <x v="0"/>
    <x v="0"/>
    <x v="0"/>
    <n v="45000"/>
    <n v="5000"/>
    <x v="0"/>
    <x v="0"/>
  </r>
  <r>
    <n v="1002"/>
    <x v="1"/>
    <x v="1"/>
    <x v="1"/>
    <x v="0"/>
    <n v="60000"/>
    <n v="8000"/>
    <x v="1"/>
    <x v="1"/>
  </r>
  <r>
    <n v="1003"/>
    <x v="2"/>
    <x v="2"/>
    <x v="2"/>
    <x v="1"/>
    <n v="42000"/>
    <n v="4000"/>
    <x v="2"/>
    <x v="0"/>
  </r>
  <r>
    <n v="1004"/>
    <x v="3"/>
    <x v="3"/>
    <x v="0"/>
    <x v="0"/>
    <n v="38000"/>
    <n v="6000"/>
    <x v="3"/>
    <x v="2"/>
  </r>
  <r>
    <n v="1005"/>
    <x v="4"/>
    <x v="4"/>
    <x v="1"/>
    <x v="1"/>
    <n v="50000"/>
    <n v="7000"/>
    <x v="4"/>
    <x v="1"/>
  </r>
  <r>
    <n v="1006"/>
    <x v="5"/>
    <x v="1"/>
    <x v="3"/>
    <x v="0"/>
    <n v="65000"/>
    <n v="9000"/>
    <x v="5"/>
    <x v="2"/>
  </r>
  <r>
    <n v="1007"/>
    <x v="6"/>
    <x v="2"/>
    <x v="4"/>
    <x v="1"/>
    <n v="41000"/>
    <n v="3500"/>
    <x v="6"/>
    <x v="0"/>
  </r>
  <r>
    <n v="1008"/>
    <x v="7"/>
    <x v="0"/>
    <x v="5"/>
    <x v="0"/>
    <n v="46000"/>
    <n v="4500"/>
    <x v="7"/>
    <x v="2"/>
  </r>
  <r>
    <n v="1009"/>
    <x v="8"/>
    <x v="3"/>
    <x v="0"/>
    <x v="1"/>
    <n v="39000"/>
    <n v="5000"/>
    <x v="3"/>
    <x v="0"/>
  </r>
  <r>
    <n v="1010"/>
    <x v="9"/>
    <x v="1"/>
    <x v="1"/>
    <x v="0"/>
    <n v="70000"/>
    <n v="10000"/>
    <x v="8"/>
    <x v="2"/>
  </r>
  <r>
    <n v="1011"/>
    <x v="10"/>
    <x v="4"/>
    <x v="2"/>
    <x v="1"/>
    <n v="48000"/>
    <n v="6500"/>
    <x v="9"/>
    <x v="1"/>
  </r>
  <r>
    <n v="1012"/>
    <x v="11"/>
    <x v="0"/>
    <x v="6"/>
    <x v="0"/>
    <n v="44000"/>
    <n v="4000"/>
    <x v="10"/>
    <x v="2"/>
  </r>
  <r>
    <n v="1013"/>
    <x v="12"/>
    <x v="2"/>
    <x v="1"/>
    <x v="1"/>
    <n v="43000"/>
    <n v="4500"/>
    <x v="11"/>
    <x v="3"/>
  </r>
  <r>
    <n v="1014"/>
    <x v="13"/>
    <x v="3"/>
    <x v="0"/>
    <x v="0"/>
    <n v="36000"/>
    <n v="5500"/>
    <x v="12"/>
    <x v="0"/>
  </r>
  <r>
    <n v="1015"/>
    <x v="14"/>
    <x v="4"/>
    <x v="5"/>
    <x v="1"/>
    <n v="47000"/>
    <n v="6000"/>
    <x v="13"/>
    <x v="0"/>
  </r>
  <r>
    <n v="1016"/>
    <x v="15"/>
    <x v="1"/>
    <x v="1"/>
    <x v="0"/>
    <n v="68000"/>
    <n v="8500"/>
    <x v="14"/>
    <x v="0"/>
  </r>
  <r>
    <n v="1017"/>
    <x v="16"/>
    <x v="2"/>
    <x v="3"/>
    <x v="1"/>
    <n v="40000"/>
    <n v="3000"/>
    <x v="15"/>
    <x v="1"/>
  </r>
  <r>
    <n v="1018"/>
    <x v="17"/>
    <x v="0"/>
    <x v="0"/>
    <x v="0"/>
    <n v="49000"/>
    <n v="5200"/>
    <x v="16"/>
    <x v="2"/>
  </r>
  <r>
    <n v="1019"/>
    <x v="18"/>
    <x v="3"/>
    <x v="4"/>
    <x v="1"/>
    <n v="37000"/>
    <n v="4800"/>
    <x v="17"/>
    <x v="2"/>
  </r>
  <r>
    <n v="1020"/>
    <x v="19"/>
    <x v="1"/>
    <x v="2"/>
    <x v="0"/>
    <n v="72000"/>
    <n v="11000"/>
    <x v="18"/>
    <x v="0"/>
  </r>
  <r>
    <n v="1021"/>
    <x v="20"/>
    <x v="4"/>
    <x v="1"/>
    <x v="0"/>
    <n v="52000"/>
    <n v="7500"/>
    <x v="19"/>
    <x v="2"/>
  </r>
  <r>
    <n v="1022"/>
    <x v="21"/>
    <x v="2"/>
    <x v="0"/>
    <x v="1"/>
    <n v="41000"/>
    <n v="3500"/>
    <x v="6"/>
    <x v="1"/>
  </r>
  <r>
    <n v="1023"/>
    <x v="22"/>
    <x v="0"/>
    <x v="5"/>
    <x v="0"/>
    <n v="45000"/>
    <n v="4200"/>
    <x v="20"/>
    <x v="2"/>
  </r>
  <r>
    <n v="1024"/>
    <x v="23"/>
    <x v="3"/>
    <x v="1"/>
    <x v="1"/>
    <n v="38500"/>
    <n v="5300"/>
    <x v="21"/>
    <x v="0"/>
  </r>
  <r>
    <n v="1025"/>
    <x v="24"/>
    <x v="1"/>
    <x v="4"/>
    <x v="0"/>
    <n v="63000"/>
    <n v="8200"/>
    <x v="22"/>
    <x v="0"/>
  </r>
  <r>
    <n v="1026"/>
    <x v="25"/>
    <x v="4"/>
    <x v="0"/>
    <x v="1"/>
    <n v="49500"/>
    <n v="6800"/>
    <x v="23"/>
    <x v="0"/>
  </r>
  <r>
    <n v="1027"/>
    <x v="26"/>
    <x v="0"/>
    <x v="1"/>
    <x v="0"/>
    <n v="47000"/>
    <n v="5000"/>
    <x v="24"/>
    <x v="2"/>
  </r>
  <r>
    <n v="1028"/>
    <x v="27"/>
    <x v="2"/>
    <x v="2"/>
    <x v="1"/>
    <n v="42500"/>
    <n v="3800"/>
    <x v="25"/>
    <x v="2"/>
  </r>
  <r>
    <n v="1029"/>
    <x v="28"/>
    <x v="3"/>
    <x v="5"/>
    <x v="0"/>
    <n v="39500"/>
    <n v="5100"/>
    <x v="26"/>
    <x v="1"/>
  </r>
  <r>
    <n v="1030"/>
    <x v="29"/>
    <x v="1"/>
    <x v="0"/>
    <x v="0"/>
    <n v="69000"/>
    <n v="9000"/>
    <x v="27"/>
    <x v="2"/>
  </r>
  <r>
    <n v="1031"/>
    <x v="30"/>
    <x v="4"/>
    <x v="4"/>
    <x v="1"/>
    <n v="46000"/>
    <n v="6200"/>
    <x v="28"/>
    <x v="0"/>
  </r>
  <r>
    <n v="1032"/>
    <x v="31"/>
    <x v="0"/>
    <x v="3"/>
    <x v="0"/>
    <n v="48000"/>
    <n v="5300"/>
    <x v="29"/>
    <x v="2"/>
  </r>
  <r>
    <n v="1033"/>
    <x v="32"/>
    <x v="2"/>
    <x v="1"/>
    <x v="1"/>
    <n v="41500"/>
    <n v="3600"/>
    <x v="30"/>
    <x v="1"/>
  </r>
  <r>
    <n v="1034"/>
    <x v="33"/>
    <x v="3"/>
    <x v="0"/>
    <x v="0"/>
    <n v="37000"/>
    <n v="4900"/>
    <x v="31"/>
    <x v="2"/>
  </r>
  <r>
    <n v="1035"/>
    <x v="34"/>
    <x v="4"/>
    <x v="2"/>
    <x v="1"/>
    <n v="50500"/>
    <n v="7200"/>
    <x v="32"/>
    <x v="2"/>
  </r>
  <r>
    <n v="1036"/>
    <x v="35"/>
    <x v="1"/>
    <x v="5"/>
    <x v="0"/>
    <n v="64000"/>
    <n v="8300"/>
    <x v="33"/>
    <x v="0"/>
  </r>
  <r>
    <n v="1037"/>
    <x v="36"/>
    <x v="2"/>
    <x v="4"/>
    <x v="1"/>
    <n v="40500"/>
    <n v="3400"/>
    <x v="34"/>
    <x v="0"/>
  </r>
  <r>
    <n v="1038"/>
    <x v="37"/>
    <x v="0"/>
    <x v="1"/>
    <x v="0"/>
    <n v="45500"/>
    <n v="4600"/>
    <x v="35"/>
    <x v="0"/>
  </r>
  <r>
    <n v="1039"/>
    <x v="38"/>
    <x v="3"/>
    <x v="3"/>
    <x v="1"/>
    <n v="39000"/>
    <n v="5200"/>
    <x v="36"/>
    <x v="0"/>
  </r>
  <r>
    <n v="1040"/>
    <x v="39"/>
    <x v="1"/>
    <x v="0"/>
    <x v="0"/>
    <n v="71000"/>
    <n v="10500"/>
    <x v="37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x v="0"/>
    <x v="0"/>
    <x v="0"/>
    <n v="45000"/>
    <n v="5000"/>
  </r>
  <r>
    <x v="1"/>
    <x v="1"/>
    <x v="1"/>
    <x v="0"/>
    <n v="60000"/>
    <n v="8000"/>
  </r>
  <r>
    <x v="2"/>
    <x v="2"/>
    <x v="2"/>
    <x v="1"/>
    <n v="42000"/>
    <n v="4000"/>
  </r>
  <r>
    <x v="3"/>
    <x v="3"/>
    <x v="0"/>
    <x v="0"/>
    <n v="38000"/>
    <n v="6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2C041C-1BE6-45FA-9E03-60473749171B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O4:P8" firstHeaderRow="1" firstDataRow="1" firstDataCol="1" rowPageCount="2" colPageCount="1"/>
  <pivotFields count="6">
    <pivotField axis="axisPage" multipleItemSelectionAllowed="1" showAll="0">
      <items count="5">
        <item h="1" x="0"/>
        <item x="2"/>
        <item x="3"/>
        <item x="1"/>
        <item t="default"/>
      </items>
    </pivotField>
    <pivotField axis="axisPage" multipleItemSelectionAllowed="1" showAll="0">
      <items count="5">
        <item x="0"/>
        <item x="2"/>
        <item x="1"/>
        <item x="3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2">
    <pageField fld="0" hier="-1"/>
    <pageField fld="1" hier="-1"/>
  </pageFields>
  <dataFields count="1">
    <dataField name="Sum of Basic Salary" fld="4" baseField="0" baseItem="0"/>
  </dataFields>
  <formats count="4">
    <format dxfId="5">
      <pivotArea field="0" type="button" dataOnly="0" labelOnly="1" outline="0" axis="axisPage" fieldPosition="0"/>
    </format>
    <format dxfId="4">
      <pivotArea dataOnly="0" labelOnly="1" outline="0" fieldPosition="0">
        <references count="1">
          <reference field="0" count="0"/>
        </references>
      </pivotArea>
    </format>
    <format dxfId="3">
      <pivotArea field="1" type="button" dataOnly="0" labelOnly="1" outline="0" axis="axisPage" fieldPosition="1"/>
    </format>
    <format dxfId="2">
      <pivotArea dataOnly="0" labelOnly="1" outline="0" fieldPosition="0">
        <references count="1">
          <reference field="1" count="0"/>
        </references>
      </pivotArea>
    </format>
  </formats>
  <chartFormats count="4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2CB3E3-389F-421C-A4C7-AB373D04589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5:G44" firstHeaderRow="0" firstDataRow="1" firstDataCol="1" rowPageCount="2" colPageCount="1"/>
  <pivotFields count="9">
    <pivotField dataField="1" showAll="0"/>
    <pivotField dataField="1" multipleItemSelectionAllowed="1" showAll="0">
      <items count="41">
        <item h="1" x="9"/>
        <item h="1" x="39"/>
        <item h="1" x="26"/>
        <item h="1" x="0"/>
        <item x="38"/>
        <item x="16"/>
        <item x="31"/>
        <item x="2"/>
        <item h="1" x="7"/>
        <item x="25"/>
        <item h="1" x="28"/>
        <item h="1" x="17"/>
        <item x="4"/>
        <item h="1" x="29"/>
        <item h="1" x="3"/>
        <item x="10"/>
        <item h="1" x="13"/>
        <item x="34"/>
        <item h="1" x="19"/>
        <item x="36"/>
        <item x="27"/>
        <item h="1" x="23"/>
        <item x="12"/>
        <item h="1" x="1"/>
        <item x="32"/>
        <item h="1" x="35"/>
        <item x="14"/>
        <item x="18"/>
        <item h="1" x="33"/>
        <item h="1" x="20"/>
        <item h="1" x="11"/>
        <item x="21"/>
        <item x="8"/>
        <item h="1" x="15"/>
        <item h="1" x="37"/>
        <item x="30"/>
        <item h="1" x="22"/>
        <item h="1" x="5"/>
        <item h="1" x="24"/>
        <item x="6"/>
        <item t="default"/>
      </items>
    </pivotField>
    <pivotField axis="axisPage" multipleItemSelectionAllowed="1" showAll="0">
      <items count="6">
        <item x="0"/>
        <item x="2"/>
        <item x="1"/>
        <item x="4"/>
        <item x="3"/>
        <item t="default"/>
      </items>
    </pivotField>
    <pivotField dataField="1" showAll="0">
      <items count="8">
        <item x="4"/>
        <item x="2"/>
        <item x="0"/>
        <item x="1"/>
        <item x="5"/>
        <item x="3"/>
        <item x="6"/>
        <item t="default"/>
      </items>
    </pivotField>
    <pivotField axis="axisPage" multipleItemSelectionAllowed="1" showAll="0">
      <items count="3">
        <item x="1"/>
        <item x="0"/>
        <item t="default"/>
      </items>
    </pivotField>
    <pivotField dataField="1" showAll="0"/>
    <pivotField dataField="1" showAll="0"/>
    <pivotField axis="axisRow" showAll="0" sortType="ascending">
      <items count="39">
        <item x="12"/>
        <item x="17"/>
        <item x="31"/>
        <item x="15"/>
        <item x="21"/>
        <item x="34"/>
        <item x="3"/>
        <item x="36"/>
        <item x="6"/>
        <item x="26"/>
        <item x="30"/>
        <item x="2"/>
        <item x="25"/>
        <item x="11"/>
        <item x="10"/>
        <item x="20"/>
        <item x="0"/>
        <item x="35"/>
        <item x="7"/>
        <item x="24"/>
        <item x="28"/>
        <item x="13"/>
        <item x="29"/>
        <item x="16"/>
        <item x="9"/>
        <item x="23"/>
        <item x="4"/>
        <item x="32"/>
        <item x="19"/>
        <item x="1"/>
        <item x="22"/>
        <item x="33"/>
        <item x="5"/>
        <item x="14"/>
        <item x="27"/>
        <item x="8"/>
        <item x="37"/>
        <item x="18"/>
        <item t="default"/>
      </items>
    </pivotField>
    <pivotField dataField="1" showAll="0">
      <items count="5">
        <item x="0"/>
        <item x="1"/>
        <item x="2"/>
        <item x="3"/>
        <item t="default"/>
      </items>
    </pivotField>
  </pivotFields>
  <rowFields count="1">
    <field x="7"/>
  </rowFields>
  <rowItems count="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2" hier="-1"/>
    <pageField fld="4" hier="-1"/>
  </pageFields>
  <dataFields count="6">
    <dataField name="Sum of Emp ID" fld="0" baseField="0" baseItem="0"/>
    <dataField name="Sum of Basic Salary" fld="5" baseField="0" baseItem="0"/>
    <dataField name="Sum of Allowance" fld="6" baseField="0" baseItem="0"/>
    <dataField name="Count of City" fld="3" subtotal="count" baseField="0" baseItem="0"/>
    <dataField name="Count of STATUS" fld="8" subtotal="count" baseField="0" baseItem="0"/>
    <dataField name="Count of Employee Name" fld="1" subtotal="count" baseField="0" baseItem="0"/>
  </dataFields>
  <chartFormats count="23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11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7" count="1" selected="0">
            <x v="12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7" count="1" selected="0">
            <x v="13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7" count="1" selected="0">
            <x v="14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7" count="1" selected="0">
            <x v="15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0"/>
          </reference>
          <reference field="7" count="1" selected="0">
            <x v="16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0"/>
          </reference>
          <reference field="7" count="1" selected="0">
            <x v="17"/>
          </reference>
        </references>
      </pivotArea>
    </chartFormat>
    <chartFormat chart="2" format="24">
      <pivotArea type="data" outline="0" fieldPosition="0">
        <references count="2">
          <reference field="4294967294" count="1" selected="0">
            <x v="0"/>
          </reference>
          <reference field="7" count="1" selected="0">
            <x v="18"/>
          </reference>
        </references>
      </pivotArea>
    </chartFormat>
    <chartFormat chart="2" format="25">
      <pivotArea type="data" outline="0" fieldPosition="0">
        <references count="2">
          <reference field="4294967294" count="1" selected="0">
            <x v="0"/>
          </reference>
          <reference field="7" count="1" selected="0">
            <x v="19"/>
          </reference>
        </references>
      </pivotArea>
    </chartFormat>
    <chartFormat chart="2" format="26">
      <pivotArea type="data" outline="0" fieldPosition="0">
        <references count="2">
          <reference field="4294967294" count="1" selected="0">
            <x v="0"/>
          </reference>
          <reference field="7" count="1" selected="0">
            <x v="20"/>
          </reference>
        </references>
      </pivotArea>
    </chartFormat>
    <chartFormat chart="2" format="27">
      <pivotArea type="data" outline="0" fieldPosition="0">
        <references count="2">
          <reference field="4294967294" count="1" selected="0">
            <x v="0"/>
          </reference>
          <reference field="7" count="1" selected="0">
            <x v="21"/>
          </reference>
        </references>
      </pivotArea>
    </chartFormat>
    <chartFormat chart="2" format="28">
      <pivotArea type="data" outline="0" fieldPosition="0">
        <references count="2">
          <reference field="4294967294" count="1" selected="0">
            <x v="0"/>
          </reference>
          <reference field="7" count="1" selected="0">
            <x v="22"/>
          </reference>
        </references>
      </pivotArea>
    </chartFormat>
    <chartFormat chart="2" format="29">
      <pivotArea type="data" outline="0" fieldPosition="0">
        <references count="2">
          <reference field="4294967294" count="1" selected="0">
            <x v="0"/>
          </reference>
          <reference field="7" count="1" selected="0">
            <x v="23"/>
          </reference>
        </references>
      </pivotArea>
    </chartFormat>
    <chartFormat chart="2" format="30">
      <pivotArea type="data" outline="0" fieldPosition="0">
        <references count="2">
          <reference field="4294967294" count="1" selected="0">
            <x v="0"/>
          </reference>
          <reference field="7" count="1" selected="0">
            <x v="24"/>
          </reference>
        </references>
      </pivotArea>
    </chartFormat>
    <chartFormat chart="2" format="31">
      <pivotArea type="data" outline="0" fieldPosition="0">
        <references count="2">
          <reference field="4294967294" count="1" selected="0">
            <x v="0"/>
          </reference>
          <reference field="7" count="1" selected="0">
            <x v="25"/>
          </reference>
        </references>
      </pivotArea>
    </chartFormat>
    <chartFormat chart="2" format="32">
      <pivotArea type="data" outline="0" fieldPosition="0">
        <references count="2">
          <reference field="4294967294" count="1" selected="0">
            <x v="0"/>
          </reference>
          <reference field="7" count="1" selected="0">
            <x v="26"/>
          </reference>
        </references>
      </pivotArea>
    </chartFormat>
    <chartFormat chart="2" format="33">
      <pivotArea type="data" outline="0" fieldPosition="0">
        <references count="2">
          <reference field="4294967294" count="1" selected="0">
            <x v="0"/>
          </reference>
          <reference field="7" count="1" selected="0">
            <x v="27"/>
          </reference>
        </references>
      </pivotArea>
    </chartFormat>
    <chartFormat chart="2" format="34">
      <pivotArea type="data" outline="0" fieldPosition="0">
        <references count="2">
          <reference field="4294967294" count="1" selected="0">
            <x v="0"/>
          </reference>
          <reference field="7" count="1" selected="0">
            <x v="28"/>
          </reference>
        </references>
      </pivotArea>
    </chartFormat>
    <chartFormat chart="2" format="35">
      <pivotArea type="data" outline="0" fieldPosition="0">
        <references count="2">
          <reference field="4294967294" count="1" selected="0">
            <x v="0"/>
          </reference>
          <reference field="7" count="1" selected="0">
            <x v="29"/>
          </reference>
        </references>
      </pivotArea>
    </chartFormat>
    <chartFormat chart="2" format="36">
      <pivotArea type="data" outline="0" fieldPosition="0">
        <references count="2">
          <reference field="4294967294" count="1" selected="0">
            <x v="0"/>
          </reference>
          <reference field="7" count="1" selected="0">
            <x v="30"/>
          </reference>
        </references>
      </pivotArea>
    </chartFormat>
    <chartFormat chart="2" format="37">
      <pivotArea type="data" outline="0" fieldPosition="0">
        <references count="2">
          <reference field="4294967294" count="1" selected="0">
            <x v="0"/>
          </reference>
          <reference field="7" count="1" selected="0">
            <x v="31"/>
          </reference>
        </references>
      </pivotArea>
    </chartFormat>
    <chartFormat chart="2" format="38">
      <pivotArea type="data" outline="0" fieldPosition="0">
        <references count="2">
          <reference field="4294967294" count="1" selected="0">
            <x v="0"/>
          </reference>
          <reference field="7" count="1" selected="0">
            <x v="32"/>
          </reference>
        </references>
      </pivotArea>
    </chartFormat>
    <chartFormat chart="2" format="39">
      <pivotArea type="data" outline="0" fieldPosition="0">
        <references count="2">
          <reference field="4294967294" count="1" selected="0">
            <x v="0"/>
          </reference>
          <reference field="7" count="1" selected="0">
            <x v="33"/>
          </reference>
        </references>
      </pivotArea>
    </chartFormat>
    <chartFormat chart="2" format="40">
      <pivotArea type="data" outline="0" fieldPosition="0">
        <references count="2">
          <reference field="4294967294" count="1" selected="0">
            <x v="0"/>
          </reference>
          <reference field="7" count="1" selected="0">
            <x v="34"/>
          </reference>
        </references>
      </pivotArea>
    </chartFormat>
    <chartFormat chart="2" format="41">
      <pivotArea type="data" outline="0" fieldPosition="0">
        <references count="2">
          <reference field="4294967294" count="1" selected="0">
            <x v="0"/>
          </reference>
          <reference field="7" count="1" selected="0">
            <x v="35"/>
          </reference>
        </references>
      </pivotArea>
    </chartFormat>
    <chartFormat chart="2" format="42">
      <pivotArea type="data" outline="0" fieldPosition="0">
        <references count="2">
          <reference field="4294967294" count="1" selected="0">
            <x v="0"/>
          </reference>
          <reference field="7" count="1" selected="0">
            <x v="36"/>
          </reference>
        </references>
      </pivotArea>
    </chartFormat>
    <chartFormat chart="2" format="43">
      <pivotArea type="data" outline="0" fieldPosition="0">
        <references count="2">
          <reference field="4294967294" count="1" selected="0">
            <x v="0"/>
          </reference>
          <reference field="7" count="1" selected="0">
            <x v="37"/>
          </reference>
        </references>
      </pivotArea>
    </chartFormat>
    <chartFormat chart="2" format="44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2" format="45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  <chartFormat chart="2" format="46">
      <pivotArea type="data" outline="0" fieldPosition="0">
        <references count="2">
          <reference field="4294967294" count="1" selected="0">
            <x v="1"/>
          </reference>
          <reference field="7" count="1" selected="0">
            <x v="2"/>
          </reference>
        </references>
      </pivotArea>
    </chartFormat>
    <chartFormat chart="2" format="47">
      <pivotArea type="data" outline="0" fieldPosition="0">
        <references count="2">
          <reference field="4294967294" count="1" selected="0">
            <x v="1"/>
          </reference>
          <reference field="7" count="1" selected="0">
            <x v="3"/>
          </reference>
        </references>
      </pivotArea>
    </chartFormat>
    <chartFormat chart="2" format="48">
      <pivotArea type="data" outline="0" fieldPosition="0">
        <references count="2">
          <reference field="4294967294" count="1" selected="0">
            <x v="1"/>
          </reference>
          <reference field="7" count="1" selected="0">
            <x v="4"/>
          </reference>
        </references>
      </pivotArea>
    </chartFormat>
    <chartFormat chart="2" format="49">
      <pivotArea type="data" outline="0" fieldPosition="0">
        <references count="2">
          <reference field="4294967294" count="1" selected="0">
            <x v="1"/>
          </reference>
          <reference field="7" count="1" selected="0">
            <x v="5"/>
          </reference>
        </references>
      </pivotArea>
    </chartFormat>
    <chartFormat chart="2" format="50">
      <pivotArea type="data" outline="0" fieldPosition="0">
        <references count="2">
          <reference field="4294967294" count="1" selected="0">
            <x v="1"/>
          </reference>
          <reference field="7" count="1" selected="0">
            <x v="6"/>
          </reference>
        </references>
      </pivotArea>
    </chartFormat>
    <chartFormat chart="2" format="51">
      <pivotArea type="data" outline="0" fieldPosition="0">
        <references count="2">
          <reference field="4294967294" count="1" selected="0">
            <x v="1"/>
          </reference>
          <reference field="7" count="1" selected="0">
            <x v="7"/>
          </reference>
        </references>
      </pivotArea>
    </chartFormat>
    <chartFormat chart="2" format="52">
      <pivotArea type="data" outline="0" fieldPosition="0">
        <references count="2">
          <reference field="4294967294" count="1" selected="0">
            <x v="1"/>
          </reference>
          <reference field="7" count="1" selected="0">
            <x v="8"/>
          </reference>
        </references>
      </pivotArea>
    </chartFormat>
    <chartFormat chart="2" format="53">
      <pivotArea type="data" outline="0" fieldPosition="0">
        <references count="2">
          <reference field="4294967294" count="1" selected="0">
            <x v="1"/>
          </reference>
          <reference field="7" count="1" selected="0">
            <x v="9"/>
          </reference>
        </references>
      </pivotArea>
    </chartFormat>
    <chartFormat chart="2" format="54">
      <pivotArea type="data" outline="0" fieldPosition="0">
        <references count="2">
          <reference field="4294967294" count="1" selected="0">
            <x v="1"/>
          </reference>
          <reference field="7" count="1" selected="0">
            <x v="10"/>
          </reference>
        </references>
      </pivotArea>
    </chartFormat>
    <chartFormat chart="2" format="55">
      <pivotArea type="data" outline="0" fieldPosition="0">
        <references count="2">
          <reference field="4294967294" count="1" selected="0">
            <x v="1"/>
          </reference>
          <reference field="7" count="1" selected="0">
            <x v="11"/>
          </reference>
        </references>
      </pivotArea>
    </chartFormat>
    <chartFormat chart="2" format="56">
      <pivotArea type="data" outline="0" fieldPosition="0">
        <references count="2">
          <reference field="4294967294" count="1" selected="0">
            <x v="1"/>
          </reference>
          <reference field="7" count="1" selected="0">
            <x v="12"/>
          </reference>
        </references>
      </pivotArea>
    </chartFormat>
    <chartFormat chart="2" format="57">
      <pivotArea type="data" outline="0" fieldPosition="0">
        <references count="2">
          <reference field="4294967294" count="1" selected="0">
            <x v="1"/>
          </reference>
          <reference field="7" count="1" selected="0">
            <x v="13"/>
          </reference>
        </references>
      </pivotArea>
    </chartFormat>
    <chartFormat chart="2" format="58">
      <pivotArea type="data" outline="0" fieldPosition="0">
        <references count="2">
          <reference field="4294967294" count="1" selected="0">
            <x v="1"/>
          </reference>
          <reference field="7" count="1" selected="0">
            <x v="14"/>
          </reference>
        </references>
      </pivotArea>
    </chartFormat>
    <chartFormat chart="2" format="59">
      <pivotArea type="data" outline="0" fieldPosition="0">
        <references count="2">
          <reference field="4294967294" count="1" selected="0">
            <x v="1"/>
          </reference>
          <reference field="7" count="1" selected="0">
            <x v="15"/>
          </reference>
        </references>
      </pivotArea>
    </chartFormat>
    <chartFormat chart="2" format="60">
      <pivotArea type="data" outline="0" fieldPosition="0">
        <references count="2">
          <reference field="4294967294" count="1" selected="0">
            <x v="1"/>
          </reference>
          <reference field="7" count="1" selected="0">
            <x v="16"/>
          </reference>
        </references>
      </pivotArea>
    </chartFormat>
    <chartFormat chart="2" format="61">
      <pivotArea type="data" outline="0" fieldPosition="0">
        <references count="2">
          <reference field="4294967294" count="1" selected="0">
            <x v="1"/>
          </reference>
          <reference field="7" count="1" selected="0">
            <x v="17"/>
          </reference>
        </references>
      </pivotArea>
    </chartFormat>
    <chartFormat chart="2" format="62">
      <pivotArea type="data" outline="0" fieldPosition="0">
        <references count="2">
          <reference field="4294967294" count="1" selected="0">
            <x v="1"/>
          </reference>
          <reference field="7" count="1" selected="0">
            <x v="18"/>
          </reference>
        </references>
      </pivotArea>
    </chartFormat>
    <chartFormat chart="2" format="63">
      <pivotArea type="data" outline="0" fieldPosition="0">
        <references count="2">
          <reference field="4294967294" count="1" selected="0">
            <x v="1"/>
          </reference>
          <reference field="7" count="1" selected="0">
            <x v="19"/>
          </reference>
        </references>
      </pivotArea>
    </chartFormat>
    <chartFormat chart="2" format="64">
      <pivotArea type="data" outline="0" fieldPosition="0">
        <references count="2">
          <reference field="4294967294" count="1" selected="0">
            <x v="1"/>
          </reference>
          <reference field="7" count="1" selected="0">
            <x v="20"/>
          </reference>
        </references>
      </pivotArea>
    </chartFormat>
    <chartFormat chart="2" format="65">
      <pivotArea type="data" outline="0" fieldPosition="0">
        <references count="2">
          <reference field="4294967294" count="1" selected="0">
            <x v="1"/>
          </reference>
          <reference field="7" count="1" selected="0">
            <x v="21"/>
          </reference>
        </references>
      </pivotArea>
    </chartFormat>
    <chartFormat chart="2" format="66">
      <pivotArea type="data" outline="0" fieldPosition="0">
        <references count="2">
          <reference field="4294967294" count="1" selected="0">
            <x v="1"/>
          </reference>
          <reference field="7" count="1" selected="0">
            <x v="22"/>
          </reference>
        </references>
      </pivotArea>
    </chartFormat>
    <chartFormat chart="2" format="67">
      <pivotArea type="data" outline="0" fieldPosition="0">
        <references count="2">
          <reference field="4294967294" count="1" selected="0">
            <x v="1"/>
          </reference>
          <reference field="7" count="1" selected="0">
            <x v="23"/>
          </reference>
        </references>
      </pivotArea>
    </chartFormat>
    <chartFormat chart="2" format="68">
      <pivotArea type="data" outline="0" fieldPosition="0">
        <references count="2">
          <reference field="4294967294" count="1" selected="0">
            <x v="1"/>
          </reference>
          <reference field="7" count="1" selected="0">
            <x v="24"/>
          </reference>
        </references>
      </pivotArea>
    </chartFormat>
    <chartFormat chart="2" format="69">
      <pivotArea type="data" outline="0" fieldPosition="0">
        <references count="2">
          <reference field="4294967294" count="1" selected="0">
            <x v="1"/>
          </reference>
          <reference field="7" count="1" selected="0">
            <x v="25"/>
          </reference>
        </references>
      </pivotArea>
    </chartFormat>
    <chartFormat chart="2" format="70">
      <pivotArea type="data" outline="0" fieldPosition="0">
        <references count="2">
          <reference field="4294967294" count="1" selected="0">
            <x v="1"/>
          </reference>
          <reference field="7" count="1" selected="0">
            <x v="26"/>
          </reference>
        </references>
      </pivotArea>
    </chartFormat>
    <chartFormat chart="2" format="71">
      <pivotArea type="data" outline="0" fieldPosition="0">
        <references count="2">
          <reference field="4294967294" count="1" selected="0">
            <x v="1"/>
          </reference>
          <reference field="7" count="1" selected="0">
            <x v="27"/>
          </reference>
        </references>
      </pivotArea>
    </chartFormat>
    <chartFormat chart="2" format="72">
      <pivotArea type="data" outline="0" fieldPosition="0">
        <references count="2">
          <reference field="4294967294" count="1" selected="0">
            <x v="1"/>
          </reference>
          <reference field="7" count="1" selected="0">
            <x v="28"/>
          </reference>
        </references>
      </pivotArea>
    </chartFormat>
    <chartFormat chart="2" format="73">
      <pivotArea type="data" outline="0" fieldPosition="0">
        <references count="2">
          <reference field="4294967294" count="1" selected="0">
            <x v="1"/>
          </reference>
          <reference field="7" count="1" selected="0">
            <x v="29"/>
          </reference>
        </references>
      </pivotArea>
    </chartFormat>
    <chartFormat chart="2" format="74">
      <pivotArea type="data" outline="0" fieldPosition="0">
        <references count="2">
          <reference field="4294967294" count="1" selected="0">
            <x v="1"/>
          </reference>
          <reference field="7" count="1" selected="0">
            <x v="30"/>
          </reference>
        </references>
      </pivotArea>
    </chartFormat>
    <chartFormat chart="2" format="75">
      <pivotArea type="data" outline="0" fieldPosition="0">
        <references count="2">
          <reference field="4294967294" count="1" selected="0">
            <x v="1"/>
          </reference>
          <reference field="7" count="1" selected="0">
            <x v="31"/>
          </reference>
        </references>
      </pivotArea>
    </chartFormat>
    <chartFormat chart="2" format="76">
      <pivotArea type="data" outline="0" fieldPosition="0">
        <references count="2">
          <reference field="4294967294" count="1" selected="0">
            <x v="1"/>
          </reference>
          <reference field="7" count="1" selected="0">
            <x v="32"/>
          </reference>
        </references>
      </pivotArea>
    </chartFormat>
    <chartFormat chart="2" format="77">
      <pivotArea type="data" outline="0" fieldPosition="0">
        <references count="2">
          <reference field="4294967294" count="1" selected="0">
            <x v="1"/>
          </reference>
          <reference field="7" count="1" selected="0">
            <x v="33"/>
          </reference>
        </references>
      </pivotArea>
    </chartFormat>
    <chartFormat chart="2" format="78">
      <pivotArea type="data" outline="0" fieldPosition="0">
        <references count="2">
          <reference field="4294967294" count="1" selected="0">
            <x v="1"/>
          </reference>
          <reference field="7" count="1" selected="0">
            <x v="34"/>
          </reference>
        </references>
      </pivotArea>
    </chartFormat>
    <chartFormat chart="2" format="79">
      <pivotArea type="data" outline="0" fieldPosition="0">
        <references count="2">
          <reference field="4294967294" count="1" selected="0">
            <x v="1"/>
          </reference>
          <reference field="7" count="1" selected="0">
            <x v="35"/>
          </reference>
        </references>
      </pivotArea>
    </chartFormat>
    <chartFormat chart="2" format="80">
      <pivotArea type="data" outline="0" fieldPosition="0">
        <references count="2">
          <reference field="4294967294" count="1" selected="0">
            <x v="1"/>
          </reference>
          <reference field="7" count="1" selected="0">
            <x v="36"/>
          </reference>
        </references>
      </pivotArea>
    </chartFormat>
    <chartFormat chart="2" format="81">
      <pivotArea type="data" outline="0" fieldPosition="0">
        <references count="2">
          <reference field="4294967294" count="1" selected="0">
            <x v="1"/>
          </reference>
          <reference field="7" count="1" selected="0">
            <x v="37"/>
          </reference>
        </references>
      </pivotArea>
    </chartFormat>
    <chartFormat chart="2" format="82">
      <pivotArea type="data" outline="0" fieldPosition="0">
        <references count="2">
          <reference field="4294967294" count="1" selected="0">
            <x v="2"/>
          </reference>
          <reference field="7" count="1" selected="0">
            <x v="0"/>
          </reference>
        </references>
      </pivotArea>
    </chartFormat>
    <chartFormat chart="2" format="83">
      <pivotArea type="data" outline="0" fieldPosition="0">
        <references count="2">
          <reference field="4294967294" count="1" selected="0">
            <x v="2"/>
          </reference>
          <reference field="7" count="1" selected="0">
            <x v="1"/>
          </reference>
        </references>
      </pivotArea>
    </chartFormat>
    <chartFormat chart="2" format="84">
      <pivotArea type="data" outline="0" fieldPosition="0">
        <references count="2">
          <reference field="4294967294" count="1" selected="0">
            <x v="2"/>
          </reference>
          <reference field="7" count="1" selected="0">
            <x v="2"/>
          </reference>
        </references>
      </pivotArea>
    </chartFormat>
    <chartFormat chart="2" format="85">
      <pivotArea type="data" outline="0" fieldPosition="0">
        <references count="2">
          <reference field="4294967294" count="1" selected="0">
            <x v="2"/>
          </reference>
          <reference field="7" count="1" selected="0">
            <x v="3"/>
          </reference>
        </references>
      </pivotArea>
    </chartFormat>
    <chartFormat chart="2" format="86">
      <pivotArea type="data" outline="0" fieldPosition="0">
        <references count="2">
          <reference field="4294967294" count="1" selected="0">
            <x v="2"/>
          </reference>
          <reference field="7" count="1" selected="0">
            <x v="4"/>
          </reference>
        </references>
      </pivotArea>
    </chartFormat>
    <chartFormat chart="2" format="87">
      <pivotArea type="data" outline="0" fieldPosition="0">
        <references count="2">
          <reference field="4294967294" count="1" selected="0">
            <x v="2"/>
          </reference>
          <reference field="7" count="1" selected="0">
            <x v="5"/>
          </reference>
        </references>
      </pivotArea>
    </chartFormat>
    <chartFormat chart="2" format="88">
      <pivotArea type="data" outline="0" fieldPosition="0">
        <references count="2">
          <reference field="4294967294" count="1" selected="0">
            <x v="2"/>
          </reference>
          <reference field="7" count="1" selected="0">
            <x v="6"/>
          </reference>
        </references>
      </pivotArea>
    </chartFormat>
    <chartFormat chart="2" format="89">
      <pivotArea type="data" outline="0" fieldPosition="0">
        <references count="2">
          <reference field="4294967294" count="1" selected="0">
            <x v="2"/>
          </reference>
          <reference field="7" count="1" selected="0">
            <x v="7"/>
          </reference>
        </references>
      </pivotArea>
    </chartFormat>
    <chartFormat chart="2" format="90">
      <pivotArea type="data" outline="0" fieldPosition="0">
        <references count="2">
          <reference field="4294967294" count="1" selected="0">
            <x v="2"/>
          </reference>
          <reference field="7" count="1" selected="0">
            <x v="8"/>
          </reference>
        </references>
      </pivotArea>
    </chartFormat>
    <chartFormat chart="2" format="91">
      <pivotArea type="data" outline="0" fieldPosition="0">
        <references count="2">
          <reference field="4294967294" count="1" selected="0">
            <x v="2"/>
          </reference>
          <reference field="7" count="1" selected="0">
            <x v="9"/>
          </reference>
        </references>
      </pivotArea>
    </chartFormat>
    <chartFormat chart="2" format="92">
      <pivotArea type="data" outline="0" fieldPosition="0">
        <references count="2">
          <reference field="4294967294" count="1" selected="0">
            <x v="2"/>
          </reference>
          <reference field="7" count="1" selected="0">
            <x v="10"/>
          </reference>
        </references>
      </pivotArea>
    </chartFormat>
    <chartFormat chart="2" format="93">
      <pivotArea type="data" outline="0" fieldPosition="0">
        <references count="2">
          <reference field="4294967294" count="1" selected="0">
            <x v="2"/>
          </reference>
          <reference field="7" count="1" selected="0">
            <x v="11"/>
          </reference>
        </references>
      </pivotArea>
    </chartFormat>
    <chartFormat chart="2" format="94">
      <pivotArea type="data" outline="0" fieldPosition="0">
        <references count="2">
          <reference field="4294967294" count="1" selected="0">
            <x v="2"/>
          </reference>
          <reference field="7" count="1" selected="0">
            <x v="12"/>
          </reference>
        </references>
      </pivotArea>
    </chartFormat>
    <chartFormat chart="2" format="95">
      <pivotArea type="data" outline="0" fieldPosition="0">
        <references count="2">
          <reference field="4294967294" count="1" selected="0">
            <x v="2"/>
          </reference>
          <reference field="7" count="1" selected="0">
            <x v="13"/>
          </reference>
        </references>
      </pivotArea>
    </chartFormat>
    <chartFormat chart="2" format="96">
      <pivotArea type="data" outline="0" fieldPosition="0">
        <references count="2">
          <reference field="4294967294" count="1" selected="0">
            <x v="2"/>
          </reference>
          <reference field="7" count="1" selected="0">
            <x v="14"/>
          </reference>
        </references>
      </pivotArea>
    </chartFormat>
    <chartFormat chart="2" format="97">
      <pivotArea type="data" outline="0" fieldPosition="0">
        <references count="2">
          <reference field="4294967294" count="1" selected="0">
            <x v="2"/>
          </reference>
          <reference field="7" count="1" selected="0">
            <x v="15"/>
          </reference>
        </references>
      </pivotArea>
    </chartFormat>
    <chartFormat chart="2" format="98">
      <pivotArea type="data" outline="0" fieldPosition="0">
        <references count="2">
          <reference field="4294967294" count="1" selected="0">
            <x v="2"/>
          </reference>
          <reference field="7" count="1" selected="0">
            <x v="16"/>
          </reference>
        </references>
      </pivotArea>
    </chartFormat>
    <chartFormat chart="2" format="99">
      <pivotArea type="data" outline="0" fieldPosition="0">
        <references count="2">
          <reference field="4294967294" count="1" selected="0">
            <x v="2"/>
          </reference>
          <reference field="7" count="1" selected="0">
            <x v="17"/>
          </reference>
        </references>
      </pivotArea>
    </chartFormat>
    <chartFormat chart="2" format="100">
      <pivotArea type="data" outline="0" fieldPosition="0">
        <references count="2">
          <reference field="4294967294" count="1" selected="0">
            <x v="2"/>
          </reference>
          <reference field="7" count="1" selected="0">
            <x v="18"/>
          </reference>
        </references>
      </pivotArea>
    </chartFormat>
    <chartFormat chart="2" format="101">
      <pivotArea type="data" outline="0" fieldPosition="0">
        <references count="2">
          <reference field="4294967294" count="1" selected="0">
            <x v="2"/>
          </reference>
          <reference field="7" count="1" selected="0">
            <x v="19"/>
          </reference>
        </references>
      </pivotArea>
    </chartFormat>
    <chartFormat chart="2" format="102">
      <pivotArea type="data" outline="0" fieldPosition="0">
        <references count="2">
          <reference field="4294967294" count="1" selected="0">
            <x v="2"/>
          </reference>
          <reference field="7" count="1" selected="0">
            <x v="20"/>
          </reference>
        </references>
      </pivotArea>
    </chartFormat>
    <chartFormat chart="2" format="103">
      <pivotArea type="data" outline="0" fieldPosition="0">
        <references count="2">
          <reference field="4294967294" count="1" selected="0">
            <x v="2"/>
          </reference>
          <reference field="7" count="1" selected="0">
            <x v="21"/>
          </reference>
        </references>
      </pivotArea>
    </chartFormat>
    <chartFormat chart="2" format="104">
      <pivotArea type="data" outline="0" fieldPosition="0">
        <references count="2">
          <reference field="4294967294" count="1" selected="0">
            <x v="2"/>
          </reference>
          <reference field="7" count="1" selected="0">
            <x v="22"/>
          </reference>
        </references>
      </pivotArea>
    </chartFormat>
    <chartFormat chart="2" format="105">
      <pivotArea type="data" outline="0" fieldPosition="0">
        <references count="2">
          <reference field="4294967294" count="1" selected="0">
            <x v="2"/>
          </reference>
          <reference field="7" count="1" selected="0">
            <x v="23"/>
          </reference>
        </references>
      </pivotArea>
    </chartFormat>
    <chartFormat chart="2" format="106">
      <pivotArea type="data" outline="0" fieldPosition="0">
        <references count="2">
          <reference field="4294967294" count="1" selected="0">
            <x v="2"/>
          </reference>
          <reference field="7" count="1" selected="0">
            <x v="24"/>
          </reference>
        </references>
      </pivotArea>
    </chartFormat>
    <chartFormat chart="2" format="107">
      <pivotArea type="data" outline="0" fieldPosition="0">
        <references count="2">
          <reference field="4294967294" count="1" selected="0">
            <x v="2"/>
          </reference>
          <reference field="7" count="1" selected="0">
            <x v="25"/>
          </reference>
        </references>
      </pivotArea>
    </chartFormat>
    <chartFormat chart="2" format="108">
      <pivotArea type="data" outline="0" fieldPosition="0">
        <references count="2">
          <reference field="4294967294" count="1" selected="0">
            <x v="2"/>
          </reference>
          <reference field="7" count="1" selected="0">
            <x v="26"/>
          </reference>
        </references>
      </pivotArea>
    </chartFormat>
    <chartFormat chart="2" format="109">
      <pivotArea type="data" outline="0" fieldPosition="0">
        <references count="2">
          <reference field="4294967294" count="1" selected="0">
            <x v="2"/>
          </reference>
          <reference field="7" count="1" selected="0">
            <x v="27"/>
          </reference>
        </references>
      </pivotArea>
    </chartFormat>
    <chartFormat chart="2" format="110">
      <pivotArea type="data" outline="0" fieldPosition="0">
        <references count="2">
          <reference field="4294967294" count="1" selected="0">
            <x v="2"/>
          </reference>
          <reference field="7" count="1" selected="0">
            <x v="28"/>
          </reference>
        </references>
      </pivotArea>
    </chartFormat>
    <chartFormat chart="2" format="111">
      <pivotArea type="data" outline="0" fieldPosition="0">
        <references count="2">
          <reference field="4294967294" count="1" selected="0">
            <x v="2"/>
          </reference>
          <reference field="7" count="1" selected="0">
            <x v="29"/>
          </reference>
        </references>
      </pivotArea>
    </chartFormat>
    <chartFormat chart="2" format="112">
      <pivotArea type="data" outline="0" fieldPosition="0">
        <references count="2">
          <reference field="4294967294" count="1" selected="0">
            <x v="2"/>
          </reference>
          <reference field="7" count="1" selected="0">
            <x v="30"/>
          </reference>
        </references>
      </pivotArea>
    </chartFormat>
    <chartFormat chart="2" format="113">
      <pivotArea type="data" outline="0" fieldPosition="0">
        <references count="2">
          <reference field="4294967294" count="1" selected="0">
            <x v="2"/>
          </reference>
          <reference field="7" count="1" selected="0">
            <x v="31"/>
          </reference>
        </references>
      </pivotArea>
    </chartFormat>
    <chartFormat chart="2" format="114">
      <pivotArea type="data" outline="0" fieldPosition="0">
        <references count="2">
          <reference field="4294967294" count="1" selected="0">
            <x v="2"/>
          </reference>
          <reference field="7" count="1" selected="0">
            <x v="32"/>
          </reference>
        </references>
      </pivotArea>
    </chartFormat>
    <chartFormat chart="2" format="115">
      <pivotArea type="data" outline="0" fieldPosition="0">
        <references count="2">
          <reference field="4294967294" count="1" selected="0">
            <x v="2"/>
          </reference>
          <reference field="7" count="1" selected="0">
            <x v="33"/>
          </reference>
        </references>
      </pivotArea>
    </chartFormat>
    <chartFormat chart="2" format="116">
      <pivotArea type="data" outline="0" fieldPosition="0">
        <references count="2">
          <reference field="4294967294" count="1" selected="0">
            <x v="2"/>
          </reference>
          <reference field="7" count="1" selected="0">
            <x v="34"/>
          </reference>
        </references>
      </pivotArea>
    </chartFormat>
    <chartFormat chart="2" format="117">
      <pivotArea type="data" outline="0" fieldPosition="0">
        <references count="2">
          <reference field="4294967294" count="1" selected="0">
            <x v="2"/>
          </reference>
          <reference field="7" count="1" selected="0">
            <x v="35"/>
          </reference>
        </references>
      </pivotArea>
    </chartFormat>
    <chartFormat chart="2" format="118">
      <pivotArea type="data" outline="0" fieldPosition="0">
        <references count="2">
          <reference field="4294967294" count="1" selected="0">
            <x v="2"/>
          </reference>
          <reference field="7" count="1" selected="0">
            <x v="36"/>
          </reference>
        </references>
      </pivotArea>
    </chartFormat>
    <chartFormat chart="2" format="119">
      <pivotArea type="data" outline="0" fieldPosition="0">
        <references count="2">
          <reference field="4294967294" count="1" selected="0">
            <x v="2"/>
          </reference>
          <reference field="7" count="1" selected="0">
            <x v="37"/>
          </reference>
        </references>
      </pivotArea>
    </chartFormat>
    <chartFormat chart="2" format="120">
      <pivotArea type="data" outline="0" fieldPosition="0">
        <references count="2">
          <reference field="4294967294" count="1" selected="0">
            <x v="3"/>
          </reference>
          <reference field="7" count="1" selected="0">
            <x v="0"/>
          </reference>
        </references>
      </pivotArea>
    </chartFormat>
    <chartFormat chart="2" format="121">
      <pivotArea type="data" outline="0" fieldPosition="0">
        <references count="2">
          <reference field="4294967294" count="1" selected="0">
            <x v="3"/>
          </reference>
          <reference field="7" count="1" selected="0">
            <x v="1"/>
          </reference>
        </references>
      </pivotArea>
    </chartFormat>
    <chartFormat chart="2" format="122">
      <pivotArea type="data" outline="0" fieldPosition="0">
        <references count="2">
          <reference field="4294967294" count="1" selected="0">
            <x v="3"/>
          </reference>
          <reference field="7" count="1" selected="0">
            <x v="2"/>
          </reference>
        </references>
      </pivotArea>
    </chartFormat>
    <chartFormat chart="2" format="123">
      <pivotArea type="data" outline="0" fieldPosition="0">
        <references count="2">
          <reference field="4294967294" count="1" selected="0">
            <x v="3"/>
          </reference>
          <reference field="7" count="1" selected="0">
            <x v="3"/>
          </reference>
        </references>
      </pivotArea>
    </chartFormat>
    <chartFormat chart="2" format="124">
      <pivotArea type="data" outline="0" fieldPosition="0">
        <references count="2">
          <reference field="4294967294" count="1" selected="0">
            <x v="3"/>
          </reference>
          <reference field="7" count="1" selected="0">
            <x v="4"/>
          </reference>
        </references>
      </pivotArea>
    </chartFormat>
    <chartFormat chart="2" format="125">
      <pivotArea type="data" outline="0" fieldPosition="0">
        <references count="2">
          <reference field="4294967294" count="1" selected="0">
            <x v="3"/>
          </reference>
          <reference field="7" count="1" selected="0">
            <x v="5"/>
          </reference>
        </references>
      </pivotArea>
    </chartFormat>
    <chartFormat chart="2" format="126">
      <pivotArea type="data" outline="0" fieldPosition="0">
        <references count="2">
          <reference field="4294967294" count="1" selected="0">
            <x v="3"/>
          </reference>
          <reference field="7" count="1" selected="0">
            <x v="6"/>
          </reference>
        </references>
      </pivotArea>
    </chartFormat>
    <chartFormat chart="2" format="127">
      <pivotArea type="data" outline="0" fieldPosition="0">
        <references count="2">
          <reference field="4294967294" count="1" selected="0">
            <x v="3"/>
          </reference>
          <reference field="7" count="1" selected="0">
            <x v="7"/>
          </reference>
        </references>
      </pivotArea>
    </chartFormat>
    <chartFormat chart="2" format="128">
      <pivotArea type="data" outline="0" fieldPosition="0">
        <references count="2">
          <reference field="4294967294" count="1" selected="0">
            <x v="3"/>
          </reference>
          <reference field="7" count="1" selected="0">
            <x v="8"/>
          </reference>
        </references>
      </pivotArea>
    </chartFormat>
    <chartFormat chart="2" format="129">
      <pivotArea type="data" outline="0" fieldPosition="0">
        <references count="2">
          <reference field="4294967294" count="1" selected="0">
            <x v="3"/>
          </reference>
          <reference field="7" count="1" selected="0">
            <x v="9"/>
          </reference>
        </references>
      </pivotArea>
    </chartFormat>
    <chartFormat chart="2" format="130">
      <pivotArea type="data" outline="0" fieldPosition="0">
        <references count="2">
          <reference field="4294967294" count="1" selected="0">
            <x v="3"/>
          </reference>
          <reference field="7" count="1" selected="0">
            <x v="10"/>
          </reference>
        </references>
      </pivotArea>
    </chartFormat>
    <chartFormat chart="2" format="131">
      <pivotArea type="data" outline="0" fieldPosition="0">
        <references count="2">
          <reference field="4294967294" count="1" selected="0">
            <x v="3"/>
          </reference>
          <reference field="7" count="1" selected="0">
            <x v="11"/>
          </reference>
        </references>
      </pivotArea>
    </chartFormat>
    <chartFormat chart="2" format="132">
      <pivotArea type="data" outline="0" fieldPosition="0">
        <references count="2">
          <reference field="4294967294" count="1" selected="0">
            <x v="3"/>
          </reference>
          <reference field="7" count="1" selected="0">
            <x v="12"/>
          </reference>
        </references>
      </pivotArea>
    </chartFormat>
    <chartFormat chart="2" format="133">
      <pivotArea type="data" outline="0" fieldPosition="0">
        <references count="2">
          <reference field="4294967294" count="1" selected="0">
            <x v="3"/>
          </reference>
          <reference field="7" count="1" selected="0">
            <x v="13"/>
          </reference>
        </references>
      </pivotArea>
    </chartFormat>
    <chartFormat chart="2" format="134">
      <pivotArea type="data" outline="0" fieldPosition="0">
        <references count="2">
          <reference field="4294967294" count="1" selected="0">
            <x v="3"/>
          </reference>
          <reference field="7" count="1" selected="0">
            <x v="14"/>
          </reference>
        </references>
      </pivotArea>
    </chartFormat>
    <chartFormat chart="2" format="135">
      <pivotArea type="data" outline="0" fieldPosition="0">
        <references count="2">
          <reference field="4294967294" count="1" selected="0">
            <x v="3"/>
          </reference>
          <reference field="7" count="1" selected="0">
            <x v="15"/>
          </reference>
        </references>
      </pivotArea>
    </chartFormat>
    <chartFormat chart="2" format="136">
      <pivotArea type="data" outline="0" fieldPosition="0">
        <references count="2">
          <reference field="4294967294" count="1" selected="0">
            <x v="3"/>
          </reference>
          <reference field="7" count="1" selected="0">
            <x v="16"/>
          </reference>
        </references>
      </pivotArea>
    </chartFormat>
    <chartFormat chart="2" format="137">
      <pivotArea type="data" outline="0" fieldPosition="0">
        <references count="2">
          <reference field="4294967294" count="1" selected="0">
            <x v="3"/>
          </reference>
          <reference field="7" count="1" selected="0">
            <x v="17"/>
          </reference>
        </references>
      </pivotArea>
    </chartFormat>
    <chartFormat chart="2" format="138">
      <pivotArea type="data" outline="0" fieldPosition="0">
        <references count="2">
          <reference field="4294967294" count="1" selected="0">
            <x v="3"/>
          </reference>
          <reference field="7" count="1" selected="0">
            <x v="18"/>
          </reference>
        </references>
      </pivotArea>
    </chartFormat>
    <chartFormat chart="2" format="139">
      <pivotArea type="data" outline="0" fieldPosition="0">
        <references count="2">
          <reference field="4294967294" count="1" selected="0">
            <x v="3"/>
          </reference>
          <reference field="7" count="1" selected="0">
            <x v="19"/>
          </reference>
        </references>
      </pivotArea>
    </chartFormat>
    <chartFormat chart="2" format="140">
      <pivotArea type="data" outline="0" fieldPosition="0">
        <references count="2">
          <reference field="4294967294" count="1" selected="0">
            <x v="3"/>
          </reference>
          <reference field="7" count="1" selected="0">
            <x v="20"/>
          </reference>
        </references>
      </pivotArea>
    </chartFormat>
    <chartFormat chart="2" format="141">
      <pivotArea type="data" outline="0" fieldPosition="0">
        <references count="2">
          <reference field="4294967294" count="1" selected="0">
            <x v="3"/>
          </reference>
          <reference field="7" count="1" selected="0">
            <x v="21"/>
          </reference>
        </references>
      </pivotArea>
    </chartFormat>
    <chartFormat chart="2" format="142">
      <pivotArea type="data" outline="0" fieldPosition="0">
        <references count="2">
          <reference field="4294967294" count="1" selected="0">
            <x v="3"/>
          </reference>
          <reference field="7" count="1" selected="0">
            <x v="22"/>
          </reference>
        </references>
      </pivotArea>
    </chartFormat>
    <chartFormat chart="2" format="143">
      <pivotArea type="data" outline="0" fieldPosition="0">
        <references count="2">
          <reference field="4294967294" count="1" selected="0">
            <x v="3"/>
          </reference>
          <reference field="7" count="1" selected="0">
            <x v="23"/>
          </reference>
        </references>
      </pivotArea>
    </chartFormat>
    <chartFormat chart="2" format="144">
      <pivotArea type="data" outline="0" fieldPosition="0">
        <references count="2">
          <reference field="4294967294" count="1" selected="0">
            <x v="3"/>
          </reference>
          <reference field="7" count="1" selected="0">
            <x v="24"/>
          </reference>
        </references>
      </pivotArea>
    </chartFormat>
    <chartFormat chart="2" format="145">
      <pivotArea type="data" outline="0" fieldPosition="0">
        <references count="2">
          <reference field="4294967294" count="1" selected="0">
            <x v="3"/>
          </reference>
          <reference field="7" count="1" selected="0">
            <x v="25"/>
          </reference>
        </references>
      </pivotArea>
    </chartFormat>
    <chartFormat chart="2" format="146">
      <pivotArea type="data" outline="0" fieldPosition="0">
        <references count="2">
          <reference field="4294967294" count="1" selected="0">
            <x v="3"/>
          </reference>
          <reference field="7" count="1" selected="0">
            <x v="26"/>
          </reference>
        </references>
      </pivotArea>
    </chartFormat>
    <chartFormat chart="2" format="147">
      <pivotArea type="data" outline="0" fieldPosition="0">
        <references count="2">
          <reference field="4294967294" count="1" selected="0">
            <x v="3"/>
          </reference>
          <reference field="7" count="1" selected="0">
            <x v="27"/>
          </reference>
        </references>
      </pivotArea>
    </chartFormat>
    <chartFormat chart="2" format="148">
      <pivotArea type="data" outline="0" fieldPosition="0">
        <references count="2">
          <reference field="4294967294" count="1" selected="0">
            <x v="3"/>
          </reference>
          <reference field="7" count="1" selected="0">
            <x v="28"/>
          </reference>
        </references>
      </pivotArea>
    </chartFormat>
    <chartFormat chart="2" format="149">
      <pivotArea type="data" outline="0" fieldPosition="0">
        <references count="2">
          <reference field="4294967294" count="1" selected="0">
            <x v="3"/>
          </reference>
          <reference field="7" count="1" selected="0">
            <x v="29"/>
          </reference>
        </references>
      </pivotArea>
    </chartFormat>
    <chartFormat chart="2" format="150">
      <pivotArea type="data" outline="0" fieldPosition="0">
        <references count="2">
          <reference field="4294967294" count="1" selected="0">
            <x v="3"/>
          </reference>
          <reference field="7" count="1" selected="0">
            <x v="30"/>
          </reference>
        </references>
      </pivotArea>
    </chartFormat>
    <chartFormat chart="2" format="151">
      <pivotArea type="data" outline="0" fieldPosition="0">
        <references count="2">
          <reference field="4294967294" count="1" selected="0">
            <x v="3"/>
          </reference>
          <reference field="7" count="1" selected="0">
            <x v="31"/>
          </reference>
        </references>
      </pivotArea>
    </chartFormat>
    <chartFormat chart="2" format="152">
      <pivotArea type="data" outline="0" fieldPosition="0">
        <references count="2">
          <reference field="4294967294" count="1" selected="0">
            <x v="3"/>
          </reference>
          <reference field="7" count="1" selected="0">
            <x v="32"/>
          </reference>
        </references>
      </pivotArea>
    </chartFormat>
    <chartFormat chart="2" format="153">
      <pivotArea type="data" outline="0" fieldPosition="0">
        <references count="2">
          <reference field="4294967294" count="1" selected="0">
            <x v="3"/>
          </reference>
          <reference field="7" count="1" selected="0">
            <x v="33"/>
          </reference>
        </references>
      </pivotArea>
    </chartFormat>
    <chartFormat chart="2" format="154">
      <pivotArea type="data" outline="0" fieldPosition="0">
        <references count="2">
          <reference field="4294967294" count="1" selected="0">
            <x v="3"/>
          </reference>
          <reference field="7" count="1" selected="0">
            <x v="34"/>
          </reference>
        </references>
      </pivotArea>
    </chartFormat>
    <chartFormat chart="2" format="155">
      <pivotArea type="data" outline="0" fieldPosition="0">
        <references count="2">
          <reference field="4294967294" count="1" selected="0">
            <x v="3"/>
          </reference>
          <reference field="7" count="1" selected="0">
            <x v="35"/>
          </reference>
        </references>
      </pivotArea>
    </chartFormat>
    <chartFormat chart="2" format="156">
      <pivotArea type="data" outline="0" fieldPosition="0">
        <references count="2">
          <reference field="4294967294" count="1" selected="0">
            <x v="3"/>
          </reference>
          <reference field="7" count="1" selected="0">
            <x v="36"/>
          </reference>
        </references>
      </pivotArea>
    </chartFormat>
    <chartFormat chart="2" format="157">
      <pivotArea type="data" outline="0" fieldPosition="0">
        <references count="2">
          <reference field="4294967294" count="1" selected="0">
            <x v="3"/>
          </reference>
          <reference field="7" count="1" selected="0">
            <x v="37"/>
          </reference>
        </references>
      </pivotArea>
    </chartFormat>
    <chartFormat chart="2" format="158">
      <pivotArea type="data" outline="0" fieldPosition="0">
        <references count="2">
          <reference field="4294967294" count="1" selected="0">
            <x v="4"/>
          </reference>
          <reference field="7" count="1" selected="0">
            <x v="0"/>
          </reference>
        </references>
      </pivotArea>
    </chartFormat>
    <chartFormat chart="2" format="159">
      <pivotArea type="data" outline="0" fieldPosition="0">
        <references count="2">
          <reference field="4294967294" count="1" selected="0">
            <x v="4"/>
          </reference>
          <reference field="7" count="1" selected="0">
            <x v="1"/>
          </reference>
        </references>
      </pivotArea>
    </chartFormat>
    <chartFormat chart="2" format="160">
      <pivotArea type="data" outline="0" fieldPosition="0">
        <references count="2">
          <reference field="4294967294" count="1" selected="0">
            <x v="4"/>
          </reference>
          <reference field="7" count="1" selected="0">
            <x v="2"/>
          </reference>
        </references>
      </pivotArea>
    </chartFormat>
    <chartFormat chart="2" format="161">
      <pivotArea type="data" outline="0" fieldPosition="0">
        <references count="2">
          <reference field="4294967294" count="1" selected="0">
            <x v="4"/>
          </reference>
          <reference field="7" count="1" selected="0">
            <x v="3"/>
          </reference>
        </references>
      </pivotArea>
    </chartFormat>
    <chartFormat chart="2" format="162">
      <pivotArea type="data" outline="0" fieldPosition="0">
        <references count="2">
          <reference field="4294967294" count="1" selected="0">
            <x v="4"/>
          </reference>
          <reference field="7" count="1" selected="0">
            <x v="4"/>
          </reference>
        </references>
      </pivotArea>
    </chartFormat>
    <chartFormat chart="2" format="163">
      <pivotArea type="data" outline="0" fieldPosition="0">
        <references count="2">
          <reference field="4294967294" count="1" selected="0">
            <x v="4"/>
          </reference>
          <reference field="7" count="1" selected="0">
            <x v="5"/>
          </reference>
        </references>
      </pivotArea>
    </chartFormat>
    <chartFormat chart="2" format="164">
      <pivotArea type="data" outline="0" fieldPosition="0">
        <references count="2">
          <reference field="4294967294" count="1" selected="0">
            <x v="4"/>
          </reference>
          <reference field="7" count="1" selected="0">
            <x v="6"/>
          </reference>
        </references>
      </pivotArea>
    </chartFormat>
    <chartFormat chart="2" format="165">
      <pivotArea type="data" outline="0" fieldPosition="0">
        <references count="2">
          <reference field="4294967294" count="1" selected="0">
            <x v="4"/>
          </reference>
          <reference field="7" count="1" selected="0">
            <x v="7"/>
          </reference>
        </references>
      </pivotArea>
    </chartFormat>
    <chartFormat chart="2" format="166">
      <pivotArea type="data" outline="0" fieldPosition="0">
        <references count="2">
          <reference field="4294967294" count="1" selected="0">
            <x v="4"/>
          </reference>
          <reference field="7" count="1" selected="0">
            <x v="8"/>
          </reference>
        </references>
      </pivotArea>
    </chartFormat>
    <chartFormat chart="2" format="167">
      <pivotArea type="data" outline="0" fieldPosition="0">
        <references count="2">
          <reference field="4294967294" count="1" selected="0">
            <x v="4"/>
          </reference>
          <reference field="7" count="1" selected="0">
            <x v="9"/>
          </reference>
        </references>
      </pivotArea>
    </chartFormat>
    <chartFormat chart="2" format="168">
      <pivotArea type="data" outline="0" fieldPosition="0">
        <references count="2">
          <reference field="4294967294" count="1" selected="0">
            <x v="4"/>
          </reference>
          <reference field="7" count="1" selected="0">
            <x v="10"/>
          </reference>
        </references>
      </pivotArea>
    </chartFormat>
    <chartFormat chart="2" format="169">
      <pivotArea type="data" outline="0" fieldPosition="0">
        <references count="2">
          <reference field="4294967294" count="1" selected="0">
            <x v="4"/>
          </reference>
          <reference field="7" count="1" selected="0">
            <x v="11"/>
          </reference>
        </references>
      </pivotArea>
    </chartFormat>
    <chartFormat chart="2" format="170">
      <pivotArea type="data" outline="0" fieldPosition="0">
        <references count="2">
          <reference field="4294967294" count="1" selected="0">
            <x v="4"/>
          </reference>
          <reference field="7" count="1" selected="0">
            <x v="12"/>
          </reference>
        </references>
      </pivotArea>
    </chartFormat>
    <chartFormat chart="2" format="171">
      <pivotArea type="data" outline="0" fieldPosition="0">
        <references count="2">
          <reference field="4294967294" count="1" selected="0">
            <x v="4"/>
          </reference>
          <reference field="7" count="1" selected="0">
            <x v="13"/>
          </reference>
        </references>
      </pivotArea>
    </chartFormat>
    <chartFormat chart="2" format="172">
      <pivotArea type="data" outline="0" fieldPosition="0">
        <references count="2">
          <reference field="4294967294" count="1" selected="0">
            <x v="4"/>
          </reference>
          <reference field="7" count="1" selected="0">
            <x v="14"/>
          </reference>
        </references>
      </pivotArea>
    </chartFormat>
    <chartFormat chart="2" format="173">
      <pivotArea type="data" outline="0" fieldPosition="0">
        <references count="2">
          <reference field="4294967294" count="1" selected="0">
            <x v="4"/>
          </reference>
          <reference field="7" count="1" selected="0">
            <x v="15"/>
          </reference>
        </references>
      </pivotArea>
    </chartFormat>
    <chartFormat chart="2" format="174">
      <pivotArea type="data" outline="0" fieldPosition="0">
        <references count="2">
          <reference field="4294967294" count="1" selected="0">
            <x v="4"/>
          </reference>
          <reference field="7" count="1" selected="0">
            <x v="16"/>
          </reference>
        </references>
      </pivotArea>
    </chartFormat>
    <chartFormat chart="2" format="175">
      <pivotArea type="data" outline="0" fieldPosition="0">
        <references count="2">
          <reference field="4294967294" count="1" selected="0">
            <x v="4"/>
          </reference>
          <reference field="7" count="1" selected="0">
            <x v="17"/>
          </reference>
        </references>
      </pivotArea>
    </chartFormat>
    <chartFormat chart="2" format="176">
      <pivotArea type="data" outline="0" fieldPosition="0">
        <references count="2">
          <reference field="4294967294" count="1" selected="0">
            <x v="4"/>
          </reference>
          <reference field="7" count="1" selected="0">
            <x v="18"/>
          </reference>
        </references>
      </pivotArea>
    </chartFormat>
    <chartFormat chart="2" format="177">
      <pivotArea type="data" outline="0" fieldPosition="0">
        <references count="2">
          <reference field="4294967294" count="1" selected="0">
            <x v="4"/>
          </reference>
          <reference field="7" count="1" selected="0">
            <x v="19"/>
          </reference>
        </references>
      </pivotArea>
    </chartFormat>
    <chartFormat chart="2" format="178">
      <pivotArea type="data" outline="0" fieldPosition="0">
        <references count="2">
          <reference field="4294967294" count="1" selected="0">
            <x v="4"/>
          </reference>
          <reference field="7" count="1" selected="0">
            <x v="20"/>
          </reference>
        </references>
      </pivotArea>
    </chartFormat>
    <chartFormat chart="2" format="179">
      <pivotArea type="data" outline="0" fieldPosition="0">
        <references count="2">
          <reference field="4294967294" count="1" selected="0">
            <x v="4"/>
          </reference>
          <reference field="7" count="1" selected="0">
            <x v="21"/>
          </reference>
        </references>
      </pivotArea>
    </chartFormat>
    <chartFormat chart="2" format="180">
      <pivotArea type="data" outline="0" fieldPosition="0">
        <references count="2">
          <reference field="4294967294" count="1" selected="0">
            <x v="4"/>
          </reference>
          <reference field="7" count="1" selected="0">
            <x v="22"/>
          </reference>
        </references>
      </pivotArea>
    </chartFormat>
    <chartFormat chart="2" format="181">
      <pivotArea type="data" outline="0" fieldPosition="0">
        <references count="2">
          <reference field="4294967294" count="1" selected="0">
            <x v="4"/>
          </reference>
          <reference field="7" count="1" selected="0">
            <x v="23"/>
          </reference>
        </references>
      </pivotArea>
    </chartFormat>
    <chartFormat chart="2" format="182">
      <pivotArea type="data" outline="0" fieldPosition="0">
        <references count="2">
          <reference field="4294967294" count="1" selected="0">
            <x v="4"/>
          </reference>
          <reference field="7" count="1" selected="0">
            <x v="24"/>
          </reference>
        </references>
      </pivotArea>
    </chartFormat>
    <chartFormat chart="2" format="183">
      <pivotArea type="data" outline="0" fieldPosition="0">
        <references count="2">
          <reference field="4294967294" count="1" selected="0">
            <x v="4"/>
          </reference>
          <reference field="7" count="1" selected="0">
            <x v="25"/>
          </reference>
        </references>
      </pivotArea>
    </chartFormat>
    <chartFormat chart="2" format="184">
      <pivotArea type="data" outline="0" fieldPosition="0">
        <references count="2">
          <reference field="4294967294" count="1" selected="0">
            <x v="4"/>
          </reference>
          <reference field="7" count="1" selected="0">
            <x v="26"/>
          </reference>
        </references>
      </pivotArea>
    </chartFormat>
    <chartFormat chart="2" format="185">
      <pivotArea type="data" outline="0" fieldPosition="0">
        <references count="2">
          <reference field="4294967294" count="1" selected="0">
            <x v="4"/>
          </reference>
          <reference field="7" count="1" selected="0">
            <x v="27"/>
          </reference>
        </references>
      </pivotArea>
    </chartFormat>
    <chartFormat chart="2" format="186">
      <pivotArea type="data" outline="0" fieldPosition="0">
        <references count="2">
          <reference field="4294967294" count="1" selected="0">
            <x v="4"/>
          </reference>
          <reference field="7" count="1" selected="0">
            <x v="28"/>
          </reference>
        </references>
      </pivotArea>
    </chartFormat>
    <chartFormat chart="2" format="187">
      <pivotArea type="data" outline="0" fieldPosition="0">
        <references count="2">
          <reference field="4294967294" count="1" selected="0">
            <x v="4"/>
          </reference>
          <reference field="7" count="1" selected="0">
            <x v="29"/>
          </reference>
        </references>
      </pivotArea>
    </chartFormat>
    <chartFormat chart="2" format="188">
      <pivotArea type="data" outline="0" fieldPosition="0">
        <references count="2">
          <reference field="4294967294" count="1" selected="0">
            <x v="4"/>
          </reference>
          <reference field="7" count="1" selected="0">
            <x v="30"/>
          </reference>
        </references>
      </pivotArea>
    </chartFormat>
    <chartFormat chart="2" format="189">
      <pivotArea type="data" outline="0" fieldPosition="0">
        <references count="2">
          <reference field="4294967294" count="1" selected="0">
            <x v="4"/>
          </reference>
          <reference field="7" count="1" selected="0">
            <x v="31"/>
          </reference>
        </references>
      </pivotArea>
    </chartFormat>
    <chartFormat chart="2" format="190">
      <pivotArea type="data" outline="0" fieldPosition="0">
        <references count="2">
          <reference field="4294967294" count="1" selected="0">
            <x v="4"/>
          </reference>
          <reference field="7" count="1" selected="0">
            <x v="32"/>
          </reference>
        </references>
      </pivotArea>
    </chartFormat>
    <chartFormat chart="2" format="191">
      <pivotArea type="data" outline="0" fieldPosition="0">
        <references count="2">
          <reference field="4294967294" count="1" selected="0">
            <x v="4"/>
          </reference>
          <reference field="7" count="1" selected="0">
            <x v="33"/>
          </reference>
        </references>
      </pivotArea>
    </chartFormat>
    <chartFormat chart="2" format="192">
      <pivotArea type="data" outline="0" fieldPosition="0">
        <references count="2">
          <reference field="4294967294" count="1" selected="0">
            <x v="4"/>
          </reference>
          <reference field="7" count="1" selected="0">
            <x v="34"/>
          </reference>
        </references>
      </pivotArea>
    </chartFormat>
    <chartFormat chart="2" format="193">
      <pivotArea type="data" outline="0" fieldPosition="0">
        <references count="2">
          <reference field="4294967294" count="1" selected="0">
            <x v="4"/>
          </reference>
          <reference field="7" count="1" selected="0">
            <x v="35"/>
          </reference>
        </references>
      </pivotArea>
    </chartFormat>
    <chartFormat chart="2" format="194">
      <pivotArea type="data" outline="0" fieldPosition="0">
        <references count="2">
          <reference field="4294967294" count="1" selected="0">
            <x v="4"/>
          </reference>
          <reference field="7" count="1" selected="0">
            <x v="36"/>
          </reference>
        </references>
      </pivotArea>
    </chartFormat>
    <chartFormat chart="2" format="195">
      <pivotArea type="data" outline="0" fieldPosition="0">
        <references count="2">
          <reference field="4294967294" count="1" selected="0">
            <x v="4"/>
          </reference>
          <reference field="7" count="1" selected="0">
            <x v="37"/>
          </reference>
        </references>
      </pivotArea>
    </chartFormat>
    <chartFormat chart="2" format="196">
      <pivotArea type="data" outline="0" fieldPosition="0">
        <references count="2">
          <reference field="4294967294" count="1" selected="0">
            <x v="5"/>
          </reference>
          <reference field="7" count="1" selected="0">
            <x v="0"/>
          </reference>
        </references>
      </pivotArea>
    </chartFormat>
    <chartFormat chart="2" format="197">
      <pivotArea type="data" outline="0" fieldPosition="0">
        <references count="2">
          <reference field="4294967294" count="1" selected="0">
            <x v="5"/>
          </reference>
          <reference field="7" count="1" selected="0">
            <x v="1"/>
          </reference>
        </references>
      </pivotArea>
    </chartFormat>
    <chartFormat chart="2" format="198">
      <pivotArea type="data" outline="0" fieldPosition="0">
        <references count="2">
          <reference field="4294967294" count="1" selected="0">
            <x v="5"/>
          </reference>
          <reference field="7" count="1" selected="0">
            <x v="2"/>
          </reference>
        </references>
      </pivotArea>
    </chartFormat>
    <chartFormat chart="2" format="199">
      <pivotArea type="data" outline="0" fieldPosition="0">
        <references count="2">
          <reference field="4294967294" count="1" selected="0">
            <x v="5"/>
          </reference>
          <reference field="7" count="1" selected="0">
            <x v="3"/>
          </reference>
        </references>
      </pivotArea>
    </chartFormat>
    <chartFormat chart="2" format="200">
      <pivotArea type="data" outline="0" fieldPosition="0">
        <references count="2">
          <reference field="4294967294" count="1" selected="0">
            <x v="5"/>
          </reference>
          <reference field="7" count="1" selected="0">
            <x v="4"/>
          </reference>
        </references>
      </pivotArea>
    </chartFormat>
    <chartFormat chart="2" format="201">
      <pivotArea type="data" outline="0" fieldPosition="0">
        <references count="2">
          <reference field="4294967294" count="1" selected="0">
            <x v="5"/>
          </reference>
          <reference field="7" count="1" selected="0">
            <x v="5"/>
          </reference>
        </references>
      </pivotArea>
    </chartFormat>
    <chartFormat chart="2" format="202">
      <pivotArea type="data" outline="0" fieldPosition="0">
        <references count="2">
          <reference field="4294967294" count="1" selected="0">
            <x v="5"/>
          </reference>
          <reference field="7" count="1" selected="0">
            <x v="6"/>
          </reference>
        </references>
      </pivotArea>
    </chartFormat>
    <chartFormat chart="2" format="203">
      <pivotArea type="data" outline="0" fieldPosition="0">
        <references count="2">
          <reference field="4294967294" count="1" selected="0">
            <x v="5"/>
          </reference>
          <reference field="7" count="1" selected="0">
            <x v="7"/>
          </reference>
        </references>
      </pivotArea>
    </chartFormat>
    <chartFormat chart="2" format="204">
      <pivotArea type="data" outline="0" fieldPosition="0">
        <references count="2">
          <reference field="4294967294" count="1" selected="0">
            <x v="5"/>
          </reference>
          <reference field="7" count="1" selected="0">
            <x v="8"/>
          </reference>
        </references>
      </pivotArea>
    </chartFormat>
    <chartFormat chart="2" format="205">
      <pivotArea type="data" outline="0" fieldPosition="0">
        <references count="2">
          <reference field="4294967294" count="1" selected="0">
            <x v="5"/>
          </reference>
          <reference field="7" count="1" selected="0">
            <x v="9"/>
          </reference>
        </references>
      </pivotArea>
    </chartFormat>
    <chartFormat chart="2" format="206">
      <pivotArea type="data" outline="0" fieldPosition="0">
        <references count="2">
          <reference field="4294967294" count="1" selected="0">
            <x v="5"/>
          </reference>
          <reference field="7" count="1" selected="0">
            <x v="10"/>
          </reference>
        </references>
      </pivotArea>
    </chartFormat>
    <chartFormat chart="2" format="207">
      <pivotArea type="data" outline="0" fieldPosition="0">
        <references count="2">
          <reference field="4294967294" count="1" selected="0">
            <x v="5"/>
          </reference>
          <reference field="7" count="1" selected="0">
            <x v="11"/>
          </reference>
        </references>
      </pivotArea>
    </chartFormat>
    <chartFormat chart="2" format="208">
      <pivotArea type="data" outline="0" fieldPosition="0">
        <references count="2">
          <reference field="4294967294" count="1" selected="0">
            <x v="5"/>
          </reference>
          <reference field="7" count="1" selected="0">
            <x v="12"/>
          </reference>
        </references>
      </pivotArea>
    </chartFormat>
    <chartFormat chart="2" format="209">
      <pivotArea type="data" outline="0" fieldPosition="0">
        <references count="2">
          <reference field="4294967294" count="1" selected="0">
            <x v="5"/>
          </reference>
          <reference field="7" count="1" selected="0">
            <x v="13"/>
          </reference>
        </references>
      </pivotArea>
    </chartFormat>
    <chartFormat chart="2" format="210">
      <pivotArea type="data" outline="0" fieldPosition="0">
        <references count="2">
          <reference field="4294967294" count="1" selected="0">
            <x v="5"/>
          </reference>
          <reference field="7" count="1" selected="0">
            <x v="14"/>
          </reference>
        </references>
      </pivotArea>
    </chartFormat>
    <chartFormat chart="2" format="211">
      <pivotArea type="data" outline="0" fieldPosition="0">
        <references count="2">
          <reference field="4294967294" count="1" selected="0">
            <x v="5"/>
          </reference>
          <reference field="7" count="1" selected="0">
            <x v="15"/>
          </reference>
        </references>
      </pivotArea>
    </chartFormat>
    <chartFormat chart="2" format="212">
      <pivotArea type="data" outline="0" fieldPosition="0">
        <references count="2">
          <reference field="4294967294" count="1" selected="0">
            <x v="5"/>
          </reference>
          <reference field="7" count="1" selected="0">
            <x v="16"/>
          </reference>
        </references>
      </pivotArea>
    </chartFormat>
    <chartFormat chart="2" format="213">
      <pivotArea type="data" outline="0" fieldPosition="0">
        <references count="2">
          <reference field="4294967294" count="1" selected="0">
            <x v="5"/>
          </reference>
          <reference field="7" count="1" selected="0">
            <x v="17"/>
          </reference>
        </references>
      </pivotArea>
    </chartFormat>
    <chartFormat chart="2" format="214">
      <pivotArea type="data" outline="0" fieldPosition="0">
        <references count="2">
          <reference field="4294967294" count="1" selected="0">
            <x v="5"/>
          </reference>
          <reference field="7" count="1" selected="0">
            <x v="18"/>
          </reference>
        </references>
      </pivotArea>
    </chartFormat>
    <chartFormat chart="2" format="215">
      <pivotArea type="data" outline="0" fieldPosition="0">
        <references count="2">
          <reference field="4294967294" count="1" selected="0">
            <x v="5"/>
          </reference>
          <reference field="7" count="1" selected="0">
            <x v="19"/>
          </reference>
        </references>
      </pivotArea>
    </chartFormat>
    <chartFormat chart="2" format="216">
      <pivotArea type="data" outline="0" fieldPosition="0">
        <references count="2">
          <reference field="4294967294" count="1" selected="0">
            <x v="5"/>
          </reference>
          <reference field="7" count="1" selected="0">
            <x v="20"/>
          </reference>
        </references>
      </pivotArea>
    </chartFormat>
    <chartFormat chart="2" format="217">
      <pivotArea type="data" outline="0" fieldPosition="0">
        <references count="2">
          <reference field="4294967294" count="1" selected="0">
            <x v="5"/>
          </reference>
          <reference field="7" count="1" selected="0">
            <x v="21"/>
          </reference>
        </references>
      </pivotArea>
    </chartFormat>
    <chartFormat chart="2" format="218">
      <pivotArea type="data" outline="0" fieldPosition="0">
        <references count="2">
          <reference field="4294967294" count="1" selected="0">
            <x v="5"/>
          </reference>
          <reference field="7" count="1" selected="0">
            <x v="22"/>
          </reference>
        </references>
      </pivotArea>
    </chartFormat>
    <chartFormat chart="2" format="219">
      <pivotArea type="data" outline="0" fieldPosition="0">
        <references count="2">
          <reference field="4294967294" count="1" selected="0">
            <x v="5"/>
          </reference>
          <reference field="7" count="1" selected="0">
            <x v="23"/>
          </reference>
        </references>
      </pivotArea>
    </chartFormat>
    <chartFormat chart="2" format="220">
      <pivotArea type="data" outline="0" fieldPosition="0">
        <references count="2">
          <reference field="4294967294" count="1" selected="0">
            <x v="5"/>
          </reference>
          <reference field="7" count="1" selected="0">
            <x v="24"/>
          </reference>
        </references>
      </pivotArea>
    </chartFormat>
    <chartFormat chart="2" format="221">
      <pivotArea type="data" outline="0" fieldPosition="0">
        <references count="2">
          <reference field="4294967294" count="1" selected="0">
            <x v="5"/>
          </reference>
          <reference field="7" count="1" selected="0">
            <x v="25"/>
          </reference>
        </references>
      </pivotArea>
    </chartFormat>
    <chartFormat chart="2" format="222">
      <pivotArea type="data" outline="0" fieldPosition="0">
        <references count="2">
          <reference field="4294967294" count="1" selected="0">
            <x v="5"/>
          </reference>
          <reference field="7" count="1" selected="0">
            <x v="26"/>
          </reference>
        </references>
      </pivotArea>
    </chartFormat>
    <chartFormat chart="2" format="223">
      <pivotArea type="data" outline="0" fieldPosition="0">
        <references count="2">
          <reference field="4294967294" count="1" selected="0">
            <x v="5"/>
          </reference>
          <reference field="7" count="1" selected="0">
            <x v="27"/>
          </reference>
        </references>
      </pivotArea>
    </chartFormat>
    <chartFormat chart="2" format="224">
      <pivotArea type="data" outline="0" fieldPosition="0">
        <references count="2">
          <reference field="4294967294" count="1" selected="0">
            <x v="5"/>
          </reference>
          <reference field="7" count="1" selected="0">
            <x v="28"/>
          </reference>
        </references>
      </pivotArea>
    </chartFormat>
    <chartFormat chart="2" format="225">
      <pivotArea type="data" outline="0" fieldPosition="0">
        <references count="2">
          <reference field="4294967294" count="1" selected="0">
            <x v="5"/>
          </reference>
          <reference field="7" count="1" selected="0">
            <x v="29"/>
          </reference>
        </references>
      </pivotArea>
    </chartFormat>
    <chartFormat chart="2" format="226">
      <pivotArea type="data" outline="0" fieldPosition="0">
        <references count="2">
          <reference field="4294967294" count="1" selected="0">
            <x v="5"/>
          </reference>
          <reference field="7" count="1" selected="0">
            <x v="30"/>
          </reference>
        </references>
      </pivotArea>
    </chartFormat>
    <chartFormat chart="2" format="227">
      <pivotArea type="data" outline="0" fieldPosition="0">
        <references count="2">
          <reference field="4294967294" count="1" selected="0">
            <x v="5"/>
          </reference>
          <reference field="7" count="1" selected="0">
            <x v="31"/>
          </reference>
        </references>
      </pivotArea>
    </chartFormat>
    <chartFormat chart="2" format="228">
      <pivotArea type="data" outline="0" fieldPosition="0">
        <references count="2">
          <reference field="4294967294" count="1" selected="0">
            <x v="5"/>
          </reference>
          <reference field="7" count="1" selected="0">
            <x v="32"/>
          </reference>
        </references>
      </pivotArea>
    </chartFormat>
    <chartFormat chart="2" format="229">
      <pivotArea type="data" outline="0" fieldPosition="0">
        <references count="2">
          <reference field="4294967294" count="1" selected="0">
            <x v="5"/>
          </reference>
          <reference field="7" count="1" selected="0">
            <x v="33"/>
          </reference>
        </references>
      </pivotArea>
    </chartFormat>
    <chartFormat chart="2" format="230">
      <pivotArea type="data" outline="0" fieldPosition="0">
        <references count="2">
          <reference field="4294967294" count="1" selected="0">
            <x v="5"/>
          </reference>
          <reference field="7" count="1" selected="0">
            <x v="34"/>
          </reference>
        </references>
      </pivotArea>
    </chartFormat>
    <chartFormat chart="2" format="231">
      <pivotArea type="data" outline="0" fieldPosition="0">
        <references count="2">
          <reference field="4294967294" count="1" selected="0">
            <x v="5"/>
          </reference>
          <reference field="7" count="1" selected="0">
            <x v="35"/>
          </reference>
        </references>
      </pivotArea>
    </chartFormat>
    <chartFormat chart="2" format="232">
      <pivotArea type="data" outline="0" fieldPosition="0">
        <references count="2">
          <reference field="4294967294" count="1" selected="0">
            <x v="5"/>
          </reference>
          <reference field="7" count="1" selected="0">
            <x v="36"/>
          </reference>
        </references>
      </pivotArea>
    </chartFormat>
    <chartFormat chart="2" format="233">
      <pivotArea type="data" outline="0" fieldPosition="0">
        <references count="2">
          <reference field="4294967294" count="1" selected="0">
            <x v="5"/>
          </reference>
          <reference field="7" count="1" selected="0">
            <x v="37"/>
          </reference>
        </references>
      </pivotArea>
    </chartFormat>
  </chartFormats>
  <pivotTableStyleInfo name="PivotStyleDark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148D2-1D4B-4043-BBD3-4CA2EB255F21}">
  <dimension ref="A1"/>
  <sheetViews>
    <sheetView workbookViewId="0">
      <selection activeCell="A3" sqref="A3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10C2D-F0D7-4C5D-AE43-25FAE899E717}">
  <dimension ref="A1:V43"/>
  <sheetViews>
    <sheetView tabSelected="1" zoomScaleNormal="100" workbookViewId="0">
      <selection activeCell="M2" sqref="M2"/>
    </sheetView>
  </sheetViews>
  <sheetFormatPr defaultRowHeight="15" x14ac:dyDescent="0.25"/>
  <cols>
    <col min="1" max="1" width="7.140625" bestFit="1" customWidth="1"/>
    <col min="3" max="3" width="10" customWidth="1"/>
    <col min="10" max="10" width="11.5703125" bestFit="1" customWidth="1"/>
    <col min="15" max="15" width="15.7109375" bestFit="1" customWidth="1"/>
    <col min="16" max="16" width="18" bestFit="1" customWidth="1"/>
    <col min="17" max="17" width="17" bestFit="1" customWidth="1"/>
  </cols>
  <sheetData>
    <row r="1" spans="1:22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68</v>
      </c>
      <c r="J1" s="5" t="s">
        <v>82</v>
      </c>
      <c r="K1" s="8" t="s">
        <v>66</v>
      </c>
      <c r="L1" s="6" t="s">
        <v>67</v>
      </c>
      <c r="M1" s="6" t="s">
        <v>69</v>
      </c>
      <c r="N1" s="6" t="s">
        <v>80</v>
      </c>
      <c r="O1" s="7" t="s">
        <v>1</v>
      </c>
      <c r="P1" s="7" t="s">
        <v>78</v>
      </c>
    </row>
    <row r="2" spans="1:22" ht="30" x14ac:dyDescent="0.25">
      <c r="A2" s="1">
        <v>1001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45000</v>
      </c>
      <c r="G2" s="1">
        <v>5000</v>
      </c>
      <c r="H2" s="1">
        <f>SUM(F2,G2)</f>
        <v>50000</v>
      </c>
      <c r="I2" s="1" t="s">
        <v>12</v>
      </c>
      <c r="J2" s="1">
        <f>AVERAGE(F2:I2)</f>
        <v>33333.333333333336</v>
      </c>
      <c r="K2">
        <f>SUMIF(F:F,"&gt;4000",F:F)</f>
        <v>1950000</v>
      </c>
      <c r="L2">
        <f>COUNTIF(G:G,"&lt;7000")</f>
        <v>28</v>
      </c>
      <c r="N2">
        <f>COUNT(A2:D4,A1:D4)</f>
        <v>6</v>
      </c>
      <c r="O2" s="7" t="s">
        <v>2</v>
      </c>
      <c r="P2" s="7" t="s">
        <v>72</v>
      </c>
    </row>
    <row r="3" spans="1:22" ht="30" x14ac:dyDescent="0.25">
      <c r="A3" s="1">
        <v>1002</v>
      </c>
      <c r="B3" s="1" t="s">
        <v>13</v>
      </c>
      <c r="C3" s="1" t="s">
        <v>14</v>
      </c>
      <c r="D3" s="1" t="s">
        <v>15</v>
      </c>
      <c r="E3" s="1" t="s">
        <v>11</v>
      </c>
      <c r="F3" s="1">
        <v>60000</v>
      </c>
      <c r="G3" s="1">
        <v>8000</v>
      </c>
      <c r="H3" s="1">
        <f t="shared" ref="H3:H41" si="0">SUM(F3,G3)</f>
        <v>68000</v>
      </c>
      <c r="I3" s="1" t="s">
        <v>16</v>
      </c>
      <c r="J3" s="1"/>
    </row>
    <row r="4" spans="1:22" ht="30" x14ac:dyDescent="0.25">
      <c r="A4" s="1">
        <v>1003</v>
      </c>
      <c r="B4" s="1" t="s">
        <v>17</v>
      </c>
      <c r="C4" s="1" t="s">
        <v>18</v>
      </c>
      <c r="D4" s="1" t="s">
        <v>19</v>
      </c>
      <c r="E4" s="1" t="s">
        <v>20</v>
      </c>
      <c r="F4" s="1">
        <v>42000</v>
      </c>
      <c r="G4" s="1">
        <v>4000</v>
      </c>
      <c r="H4" s="1">
        <f t="shared" si="0"/>
        <v>46000</v>
      </c>
      <c r="I4" s="1" t="s">
        <v>12</v>
      </c>
      <c r="J4" s="1"/>
      <c r="O4" s="2" t="s">
        <v>70</v>
      </c>
      <c r="P4" t="s">
        <v>74</v>
      </c>
    </row>
    <row r="5" spans="1:22" ht="30" x14ac:dyDescent="0.25">
      <c r="A5" s="1">
        <v>1004</v>
      </c>
      <c r="B5" s="1" t="s">
        <v>21</v>
      </c>
      <c r="C5" s="1" t="s">
        <v>22</v>
      </c>
      <c r="D5" s="1" t="s">
        <v>10</v>
      </c>
      <c r="E5" s="1" t="s">
        <v>11</v>
      </c>
      <c r="F5" s="1">
        <v>38000</v>
      </c>
      <c r="G5" s="1">
        <v>6000</v>
      </c>
      <c r="H5" s="1">
        <f t="shared" si="0"/>
        <v>44000</v>
      </c>
      <c r="I5" s="1" t="s">
        <v>23</v>
      </c>
      <c r="J5" s="1"/>
      <c r="O5" s="3" t="s">
        <v>19</v>
      </c>
      <c r="P5">
        <v>42000</v>
      </c>
      <c r="V5" s="4"/>
    </row>
    <row r="6" spans="1:22" ht="30" x14ac:dyDescent="0.25">
      <c r="A6" s="1">
        <v>1005</v>
      </c>
      <c r="B6" s="1" t="s">
        <v>24</v>
      </c>
      <c r="C6" s="1" t="s">
        <v>25</v>
      </c>
      <c r="D6" s="1" t="s">
        <v>15</v>
      </c>
      <c r="E6" s="1" t="s">
        <v>20</v>
      </c>
      <c r="F6" s="1">
        <v>50000</v>
      </c>
      <c r="G6" s="1">
        <v>7000</v>
      </c>
      <c r="H6" s="1">
        <f t="shared" si="0"/>
        <v>57000</v>
      </c>
      <c r="I6" s="1" t="s">
        <v>16</v>
      </c>
      <c r="J6" s="1"/>
      <c r="O6" s="3" t="s">
        <v>10</v>
      </c>
      <c r="P6">
        <v>38000</v>
      </c>
    </row>
    <row r="7" spans="1:22" ht="30" x14ac:dyDescent="0.25">
      <c r="A7" s="1">
        <v>1006</v>
      </c>
      <c r="B7" s="1" t="s">
        <v>26</v>
      </c>
      <c r="C7" s="1" t="s">
        <v>14</v>
      </c>
      <c r="D7" s="1" t="s">
        <v>27</v>
      </c>
      <c r="E7" s="1" t="s">
        <v>11</v>
      </c>
      <c r="F7" s="1">
        <v>65000</v>
      </c>
      <c r="G7" s="1">
        <v>9000</v>
      </c>
      <c r="H7" s="1">
        <f t="shared" si="0"/>
        <v>74000</v>
      </c>
      <c r="I7" s="1" t="s">
        <v>23</v>
      </c>
      <c r="J7" s="1"/>
      <c r="O7" s="3" t="s">
        <v>15</v>
      </c>
      <c r="P7">
        <v>60000</v>
      </c>
    </row>
    <row r="8" spans="1:22" ht="30" x14ac:dyDescent="0.25">
      <c r="A8" s="1">
        <v>1007</v>
      </c>
      <c r="B8" s="1" t="s">
        <v>28</v>
      </c>
      <c r="C8" s="1" t="s">
        <v>18</v>
      </c>
      <c r="D8" s="1" t="s">
        <v>29</v>
      </c>
      <c r="E8" s="1" t="s">
        <v>20</v>
      </c>
      <c r="F8" s="1">
        <v>41000</v>
      </c>
      <c r="G8" s="1">
        <v>3500</v>
      </c>
      <c r="H8" s="1">
        <f t="shared" si="0"/>
        <v>44500</v>
      </c>
      <c r="I8" s="1" t="s">
        <v>12</v>
      </c>
      <c r="J8" s="1"/>
      <c r="O8" s="3" t="s">
        <v>71</v>
      </c>
      <c r="P8">
        <v>140000</v>
      </c>
    </row>
    <row r="9" spans="1:22" ht="30" x14ac:dyDescent="0.25">
      <c r="A9" s="1">
        <v>1008</v>
      </c>
      <c r="B9" s="1" t="s">
        <v>30</v>
      </c>
      <c r="C9" s="1" t="s">
        <v>9</v>
      </c>
      <c r="D9" s="1" t="s">
        <v>31</v>
      </c>
      <c r="E9" s="1" t="s">
        <v>11</v>
      </c>
      <c r="F9" s="1">
        <v>46000</v>
      </c>
      <c r="G9" s="1">
        <v>4500</v>
      </c>
      <c r="H9" s="1">
        <f t="shared" si="0"/>
        <v>50500</v>
      </c>
      <c r="I9" s="1" t="s">
        <v>23</v>
      </c>
      <c r="J9" s="1"/>
    </row>
    <row r="10" spans="1:22" ht="30" x14ac:dyDescent="0.25">
      <c r="A10" s="1">
        <v>1009</v>
      </c>
      <c r="B10" s="1" t="s">
        <v>32</v>
      </c>
      <c r="C10" s="1" t="s">
        <v>22</v>
      </c>
      <c r="D10" s="1" t="s">
        <v>10</v>
      </c>
      <c r="E10" s="1" t="s">
        <v>20</v>
      </c>
      <c r="F10" s="1">
        <v>39000</v>
      </c>
      <c r="G10" s="1">
        <v>5000</v>
      </c>
      <c r="H10" s="1">
        <f t="shared" si="0"/>
        <v>44000</v>
      </c>
      <c r="I10" s="1" t="s">
        <v>12</v>
      </c>
      <c r="J10" s="1"/>
    </row>
    <row r="11" spans="1:22" ht="30" x14ac:dyDescent="0.25">
      <c r="A11" s="1">
        <v>1010</v>
      </c>
      <c r="B11" s="1" t="s">
        <v>33</v>
      </c>
      <c r="C11" s="1" t="s">
        <v>14</v>
      </c>
      <c r="D11" s="1" t="s">
        <v>15</v>
      </c>
      <c r="E11" s="1" t="s">
        <v>11</v>
      </c>
      <c r="F11" s="1">
        <v>70000</v>
      </c>
      <c r="G11" s="1">
        <v>10000</v>
      </c>
      <c r="H11" s="1">
        <f t="shared" si="0"/>
        <v>80000</v>
      </c>
      <c r="I11" s="1" t="s">
        <v>23</v>
      </c>
      <c r="J11" s="1"/>
    </row>
    <row r="12" spans="1:22" ht="30" x14ac:dyDescent="0.25">
      <c r="A12" s="1">
        <v>1011</v>
      </c>
      <c r="B12" s="1" t="s">
        <v>34</v>
      </c>
      <c r="C12" s="1" t="s">
        <v>25</v>
      </c>
      <c r="D12" s="1" t="s">
        <v>19</v>
      </c>
      <c r="E12" s="1" t="s">
        <v>20</v>
      </c>
      <c r="F12" s="1">
        <v>48000</v>
      </c>
      <c r="G12" s="1">
        <v>6500</v>
      </c>
      <c r="H12" s="1">
        <f t="shared" si="0"/>
        <v>54500</v>
      </c>
      <c r="I12" s="1" t="s">
        <v>16</v>
      </c>
      <c r="J12" s="1"/>
    </row>
    <row r="13" spans="1:22" ht="30" x14ac:dyDescent="0.25">
      <c r="A13" s="1">
        <v>1012</v>
      </c>
      <c r="B13" s="1" t="s">
        <v>35</v>
      </c>
      <c r="C13" s="1" t="s">
        <v>9</v>
      </c>
      <c r="D13" s="1" t="s">
        <v>36</v>
      </c>
      <c r="E13" s="1" t="s">
        <v>11</v>
      </c>
      <c r="F13" s="1">
        <v>44000</v>
      </c>
      <c r="G13" s="1">
        <v>4000</v>
      </c>
      <c r="H13" s="1">
        <f t="shared" si="0"/>
        <v>48000</v>
      </c>
      <c r="I13" s="1" t="s">
        <v>23</v>
      </c>
      <c r="J13" s="1"/>
    </row>
    <row r="14" spans="1:22" ht="30" x14ac:dyDescent="0.25">
      <c r="A14" s="1">
        <v>1013</v>
      </c>
      <c r="B14" s="1" t="s">
        <v>37</v>
      </c>
      <c r="C14" s="1" t="s">
        <v>18</v>
      </c>
      <c r="D14" s="1" t="s">
        <v>15</v>
      </c>
      <c r="E14" s="1" t="s">
        <v>20</v>
      </c>
      <c r="F14" s="1">
        <v>43000</v>
      </c>
      <c r="G14" s="1">
        <v>4500</v>
      </c>
      <c r="H14" s="1">
        <f t="shared" si="0"/>
        <v>47500</v>
      </c>
      <c r="I14" s="1" t="s">
        <v>65</v>
      </c>
      <c r="J14" s="1"/>
    </row>
    <row r="15" spans="1:22" ht="30" x14ac:dyDescent="0.25">
      <c r="A15" s="1">
        <v>1014</v>
      </c>
      <c r="B15" s="1" t="s">
        <v>38</v>
      </c>
      <c r="C15" s="1" t="s">
        <v>22</v>
      </c>
      <c r="D15" s="1" t="s">
        <v>10</v>
      </c>
      <c r="E15" s="1" t="s">
        <v>11</v>
      </c>
      <c r="F15" s="1">
        <v>36000</v>
      </c>
      <c r="G15" s="1">
        <v>5500</v>
      </c>
      <c r="H15" s="1">
        <f t="shared" si="0"/>
        <v>41500</v>
      </c>
      <c r="I15" s="1" t="s">
        <v>12</v>
      </c>
      <c r="J15" s="1"/>
    </row>
    <row r="16" spans="1:22" ht="30" x14ac:dyDescent="0.25">
      <c r="A16" s="1">
        <v>1015</v>
      </c>
      <c r="B16" s="1" t="s">
        <v>39</v>
      </c>
      <c r="C16" s="1" t="s">
        <v>25</v>
      </c>
      <c r="D16" s="1" t="s">
        <v>31</v>
      </c>
      <c r="E16" s="1" t="s">
        <v>20</v>
      </c>
      <c r="F16" s="1">
        <v>47000</v>
      </c>
      <c r="G16" s="1">
        <v>6000</v>
      </c>
      <c r="H16" s="1">
        <f t="shared" si="0"/>
        <v>53000</v>
      </c>
      <c r="I16" s="1" t="s">
        <v>12</v>
      </c>
      <c r="J16" s="1"/>
    </row>
    <row r="17" spans="1:10" ht="30" x14ac:dyDescent="0.25">
      <c r="A17" s="1">
        <v>1016</v>
      </c>
      <c r="B17" s="1" t="s">
        <v>40</v>
      </c>
      <c r="C17" s="1" t="s">
        <v>14</v>
      </c>
      <c r="D17" s="1" t="s">
        <v>15</v>
      </c>
      <c r="E17" s="1" t="s">
        <v>11</v>
      </c>
      <c r="F17" s="1">
        <v>68000</v>
      </c>
      <c r="G17" s="1">
        <v>8500</v>
      </c>
      <c r="H17" s="1">
        <f t="shared" si="0"/>
        <v>76500</v>
      </c>
      <c r="I17" s="1" t="s">
        <v>12</v>
      </c>
      <c r="J17" s="1"/>
    </row>
    <row r="18" spans="1:10" ht="30" x14ac:dyDescent="0.25">
      <c r="A18" s="1">
        <v>1017</v>
      </c>
      <c r="B18" s="1" t="s">
        <v>41</v>
      </c>
      <c r="C18" s="1" t="s">
        <v>18</v>
      </c>
      <c r="D18" s="1" t="s">
        <v>27</v>
      </c>
      <c r="E18" s="1" t="s">
        <v>20</v>
      </c>
      <c r="F18" s="1">
        <v>40000</v>
      </c>
      <c r="G18" s="1">
        <v>3000</v>
      </c>
      <c r="H18" s="1">
        <f t="shared" si="0"/>
        <v>43000</v>
      </c>
      <c r="I18" s="1" t="s">
        <v>16</v>
      </c>
      <c r="J18" s="1"/>
    </row>
    <row r="19" spans="1:10" ht="30" x14ac:dyDescent="0.25">
      <c r="A19" s="1">
        <v>1018</v>
      </c>
      <c r="B19" s="1" t="s">
        <v>42</v>
      </c>
      <c r="C19" s="1" t="s">
        <v>9</v>
      </c>
      <c r="D19" s="1" t="s">
        <v>10</v>
      </c>
      <c r="E19" s="1" t="s">
        <v>11</v>
      </c>
      <c r="F19" s="1">
        <v>49000</v>
      </c>
      <c r="G19" s="1">
        <v>5200</v>
      </c>
      <c r="H19" s="1">
        <f t="shared" si="0"/>
        <v>54200</v>
      </c>
      <c r="I19" s="1" t="s">
        <v>23</v>
      </c>
      <c r="J19" s="1"/>
    </row>
    <row r="20" spans="1:10" ht="30" x14ac:dyDescent="0.25">
      <c r="A20" s="1">
        <v>1019</v>
      </c>
      <c r="B20" s="1" t="s">
        <v>43</v>
      </c>
      <c r="C20" s="1" t="s">
        <v>22</v>
      </c>
      <c r="D20" s="1" t="s">
        <v>29</v>
      </c>
      <c r="E20" s="1" t="s">
        <v>20</v>
      </c>
      <c r="F20" s="1">
        <v>37000</v>
      </c>
      <c r="G20" s="1">
        <v>4800</v>
      </c>
      <c r="H20" s="1">
        <f t="shared" si="0"/>
        <v>41800</v>
      </c>
      <c r="I20" s="1" t="s">
        <v>23</v>
      </c>
      <c r="J20" s="1"/>
    </row>
    <row r="21" spans="1:10" ht="30" x14ac:dyDescent="0.25">
      <c r="A21" s="1">
        <v>1020</v>
      </c>
      <c r="B21" s="1" t="s">
        <v>44</v>
      </c>
      <c r="C21" s="1" t="s">
        <v>14</v>
      </c>
      <c r="D21" s="1" t="s">
        <v>19</v>
      </c>
      <c r="E21" s="1" t="s">
        <v>11</v>
      </c>
      <c r="F21" s="1">
        <v>72000</v>
      </c>
      <c r="G21" s="1">
        <v>11000</v>
      </c>
      <c r="H21" s="1">
        <f t="shared" si="0"/>
        <v>83000</v>
      </c>
      <c r="I21" s="1" t="s">
        <v>12</v>
      </c>
      <c r="J21" s="1"/>
    </row>
    <row r="22" spans="1:10" ht="30" x14ac:dyDescent="0.25">
      <c r="A22" s="1">
        <v>1021</v>
      </c>
      <c r="B22" s="1" t="s">
        <v>45</v>
      </c>
      <c r="C22" s="1" t="s">
        <v>25</v>
      </c>
      <c r="D22" s="1" t="s">
        <v>15</v>
      </c>
      <c r="E22" s="1" t="s">
        <v>11</v>
      </c>
      <c r="F22" s="1">
        <v>52000</v>
      </c>
      <c r="G22" s="1">
        <v>7500</v>
      </c>
      <c r="H22" s="1">
        <f t="shared" si="0"/>
        <v>59500</v>
      </c>
      <c r="I22" s="1" t="s">
        <v>23</v>
      </c>
      <c r="J22" s="1"/>
    </row>
    <row r="23" spans="1:10" x14ac:dyDescent="0.25">
      <c r="A23" s="1">
        <v>1022</v>
      </c>
      <c r="B23" s="1" t="s">
        <v>46</v>
      </c>
      <c r="C23" s="1" t="s">
        <v>18</v>
      </c>
      <c r="D23" s="1" t="s">
        <v>10</v>
      </c>
      <c r="E23" s="1" t="s">
        <v>20</v>
      </c>
      <c r="F23" s="1">
        <v>41000</v>
      </c>
      <c r="G23" s="1">
        <v>3500</v>
      </c>
      <c r="H23" s="1">
        <f t="shared" si="0"/>
        <v>44500</v>
      </c>
      <c r="I23" s="1" t="s">
        <v>16</v>
      </c>
      <c r="J23" s="1"/>
    </row>
    <row r="24" spans="1:10" ht="45" x14ac:dyDescent="0.25">
      <c r="A24" s="1">
        <v>1023</v>
      </c>
      <c r="B24" s="1" t="s">
        <v>47</v>
      </c>
      <c r="C24" s="1" t="s">
        <v>9</v>
      </c>
      <c r="D24" s="1" t="s">
        <v>31</v>
      </c>
      <c r="E24" s="1" t="s">
        <v>11</v>
      </c>
      <c r="F24" s="1">
        <v>45000</v>
      </c>
      <c r="G24" s="1">
        <v>4200</v>
      </c>
      <c r="H24" s="1">
        <f t="shared" si="0"/>
        <v>49200</v>
      </c>
      <c r="I24" s="1" t="s">
        <v>23</v>
      </c>
      <c r="J24" s="1"/>
    </row>
    <row r="25" spans="1:10" ht="30" x14ac:dyDescent="0.25">
      <c r="A25" s="1">
        <v>1024</v>
      </c>
      <c r="B25" s="1" t="s">
        <v>48</v>
      </c>
      <c r="C25" s="1" t="s">
        <v>22</v>
      </c>
      <c r="D25" s="1" t="s">
        <v>15</v>
      </c>
      <c r="E25" s="1" t="s">
        <v>20</v>
      </c>
      <c r="F25" s="1">
        <v>38500</v>
      </c>
      <c r="G25" s="1">
        <v>5300</v>
      </c>
      <c r="H25" s="1">
        <f t="shared" si="0"/>
        <v>43800</v>
      </c>
      <c r="I25" s="1" t="s">
        <v>12</v>
      </c>
      <c r="J25" s="1"/>
    </row>
    <row r="26" spans="1:10" ht="30" x14ac:dyDescent="0.25">
      <c r="A26" s="1">
        <v>1025</v>
      </c>
      <c r="B26" s="1" t="s">
        <v>49</v>
      </c>
      <c r="C26" s="1" t="s">
        <v>14</v>
      </c>
      <c r="D26" s="1" t="s">
        <v>29</v>
      </c>
      <c r="E26" s="1" t="s">
        <v>11</v>
      </c>
      <c r="F26" s="1">
        <v>63000</v>
      </c>
      <c r="G26" s="1">
        <v>8200</v>
      </c>
      <c r="H26" s="1">
        <f t="shared" si="0"/>
        <v>71200</v>
      </c>
      <c r="I26" s="1" t="s">
        <v>12</v>
      </c>
      <c r="J26" s="1"/>
    </row>
    <row r="27" spans="1:10" ht="30" x14ac:dyDescent="0.25">
      <c r="A27" s="1">
        <v>1026</v>
      </c>
      <c r="B27" s="1" t="s">
        <v>50</v>
      </c>
      <c r="C27" s="1" t="s">
        <v>25</v>
      </c>
      <c r="D27" s="1" t="s">
        <v>10</v>
      </c>
      <c r="E27" s="1" t="s">
        <v>20</v>
      </c>
      <c r="F27" s="1">
        <v>49500</v>
      </c>
      <c r="G27" s="1">
        <v>6800</v>
      </c>
      <c r="H27" s="1">
        <f t="shared" si="0"/>
        <v>56300</v>
      </c>
      <c r="I27" s="1" t="s">
        <v>12</v>
      </c>
      <c r="J27" s="1"/>
    </row>
    <row r="28" spans="1:10" ht="30" x14ac:dyDescent="0.25">
      <c r="A28" s="1">
        <v>1027</v>
      </c>
      <c r="B28" s="1" t="s">
        <v>51</v>
      </c>
      <c r="C28" s="1" t="s">
        <v>9</v>
      </c>
      <c r="D28" s="1" t="s">
        <v>15</v>
      </c>
      <c r="E28" s="1" t="s">
        <v>11</v>
      </c>
      <c r="F28" s="1">
        <v>47000</v>
      </c>
      <c r="G28" s="1">
        <v>5000</v>
      </c>
      <c r="H28" s="1">
        <f t="shared" si="0"/>
        <v>52000</v>
      </c>
      <c r="I28" s="1" t="s">
        <v>23</v>
      </c>
      <c r="J28" s="1"/>
    </row>
    <row r="29" spans="1:10" ht="30" x14ac:dyDescent="0.25">
      <c r="A29" s="1">
        <v>1028</v>
      </c>
      <c r="B29" s="1" t="s">
        <v>52</v>
      </c>
      <c r="C29" s="1" t="s">
        <v>18</v>
      </c>
      <c r="D29" s="1" t="s">
        <v>19</v>
      </c>
      <c r="E29" s="1" t="s">
        <v>20</v>
      </c>
      <c r="F29" s="1">
        <v>42500</v>
      </c>
      <c r="G29" s="1">
        <v>3800</v>
      </c>
      <c r="H29" s="1">
        <f t="shared" si="0"/>
        <v>46300</v>
      </c>
      <c r="I29" s="1" t="s">
        <v>23</v>
      </c>
      <c r="J29" s="1"/>
    </row>
    <row r="30" spans="1:10" ht="30" x14ac:dyDescent="0.25">
      <c r="A30" s="1">
        <v>1029</v>
      </c>
      <c r="B30" s="1" t="s">
        <v>53</v>
      </c>
      <c r="C30" s="1" t="s">
        <v>22</v>
      </c>
      <c r="D30" s="1" t="s">
        <v>31</v>
      </c>
      <c r="E30" s="1" t="s">
        <v>11</v>
      </c>
      <c r="F30" s="1">
        <v>39500</v>
      </c>
      <c r="G30" s="1">
        <v>5100</v>
      </c>
      <c r="H30" s="1">
        <f t="shared" si="0"/>
        <v>44600</v>
      </c>
      <c r="I30" s="1" t="s">
        <v>16</v>
      </c>
      <c r="J30" s="1"/>
    </row>
    <row r="31" spans="1:10" ht="30" x14ac:dyDescent="0.25">
      <c r="A31" s="1">
        <v>1030</v>
      </c>
      <c r="B31" s="1" t="s">
        <v>54</v>
      </c>
      <c r="C31" s="1" t="s">
        <v>14</v>
      </c>
      <c r="D31" s="1" t="s">
        <v>10</v>
      </c>
      <c r="E31" s="1" t="s">
        <v>11</v>
      </c>
      <c r="F31" s="1">
        <v>69000</v>
      </c>
      <c r="G31" s="1">
        <v>9000</v>
      </c>
      <c r="H31" s="1">
        <f t="shared" si="0"/>
        <v>78000</v>
      </c>
      <c r="I31" s="1" t="s">
        <v>23</v>
      </c>
      <c r="J31" s="1"/>
    </row>
    <row r="32" spans="1:10" ht="30" x14ac:dyDescent="0.25">
      <c r="A32" s="1">
        <v>1031</v>
      </c>
      <c r="B32" s="1" t="s">
        <v>55</v>
      </c>
      <c r="C32" s="1" t="s">
        <v>25</v>
      </c>
      <c r="D32" s="1" t="s">
        <v>29</v>
      </c>
      <c r="E32" s="1" t="s">
        <v>20</v>
      </c>
      <c r="F32" s="1">
        <v>46000</v>
      </c>
      <c r="G32" s="1">
        <v>6200</v>
      </c>
      <c r="H32" s="1">
        <f t="shared" si="0"/>
        <v>52200</v>
      </c>
      <c r="I32" s="1" t="s">
        <v>12</v>
      </c>
      <c r="J32" s="1"/>
    </row>
    <row r="33" spans="1:10" ht="30" x14ac:dyDescent="0.25">
      <c r="A33" s="1">
        <v>1032</v>
      </c>
      <c r="B33" s="1" t="s">
        <v>56</v>
      </c>
      <c r="C33" s="1" t="s">
        <v>9</v>
      </c>
      <c r="D33" s="1" t="s">
        <v>27</v>
      </c>
      <c r="E33" s="1" t="s">
        <v>11</v>
      </c>
      <c r="F33" s="1">
        <v>48000</v>
      </c>
      <c r="G33" s="1">
        <v>5300</v>
      </c>
      <c r="H33" s="1">
        <f t="shared" si="0"/>
        <v>53300</v>
      </c>
      <c r="I33" s="1" t="s">
        <v>23</v>
      </c>
      <c r="J33" s="1"/>
    </row>
    <row r="34" spans="1:10" ht="30" x14ac:dyDescent="0.25">
      <c r="A34" s="1">
        <v>1033</v>
      </c>
      <c r="B34" s="1" t="s">
        <v>57</v>
      </c>
      <c r="C34" s="1" t="s">
        <v>18</v>
      </c>
      <c r="D34" s="1" t="s">
        <v>15</v>
      </c>
      <c r="E34" s="1" t="s">
        <v>20</v>
      </c>
      <c r="F34" s="1">
        <v>41500</v>
      </c>
      <c r="G34" s="1">
        <v>3600</v>
      </c>
      <c r="H34" s="1">
        <f t="shared" si="0"/>
        <v>45100</v>
      </c>
      <c r="I34" s="1" t="s">
        <v>16</v>
      </c>
      <c r="J34" s="1"/>
    </row>
    <row r="35" spans="1:10" ht="30" x14ac:dyDescent="0.25">
      <c r="A35" s="1">
        <v>1034</v>
      </c>
      <c r="B35" s="1" t="s">
        <v>58</v>
      </c>
      <c r="C35" s="1" t="s">
        <v>22</v>
      </c>
      <c r="D35" s="1" t="s">
        <v>10</v>
      </c>
      <c r="E35" s="1" t="s">
        <v>11</v>
      </c>
      <c r="F35" s="1">
        <v>37000</v>
      </c>
      <c r="G35" s="1">
        <v>4900</v>
      </c>
      <c r="H35" s="1">
        <f t="shared" si="0"/>
        <v>41900</v>
      </c>
      <c r="I35" s="1" t="s">
        <v>23</v>
      </c>
      <c r="J35" s="1"/>
    </row>
    <row r="36" spans="1:10" ht="30" x14ac:dyDescent="0.25">
      <c r="A36" s="1">
        <v>1035</v>
      </c>
      <c r="B36" s="1" t="s">
        <v>59</v>
      </c>
      <c r="C36" s="1" t="s">
        <v>25</v>
      </c>
      <c r="D36" s="1" t="s">
        <v>19</v>
      </c>
      <c r="E36" s="1" t="s">
        <v>20</v>
      </c>
      <c r="F36" s="1">
        <v>50500</v>
      </c>
      <c r="G36" s="1">
        <v>7200</v>
      </c>
      <c r="H36" s="1">
        <f t="shared" si="0"/>
        <v>57700</v>
      </c>
      <c r="I36" s="1" t="s">
        <v>23</v>
      </c>
      <c r="J36" s="1"/>
    </row>
    <row r="37" spans="1:10" ht="30" x14ac:dyDescent="0.25">
      <c r="A37" s="1">
        <v>1036</v>
      </c>
      <c r="B37" s="1" t="s">
        <v>60</v>
      </c>
      <c r="C37" s="1" t="s">
        <v>14</v>
      </c>
      <c r="D37" s="1" t="s">
        <v>31</v>
      </c>
      <c r="E37" s="1" t="s">
        <v>11</v>
      </c>
      <c r="F37" s="1">
        <v>64000</v>
      </c>
      <c r="G37" s="1">
        <v>8300</v>
      </c>
      <c r="H37" s="1">
        <f t="shared" si="0"/>
        <v>72300</v>
      </c>
      <c r="I37" s="1" t="s">
        <v>12</v>
      </c>
      <c r="J37" s="1"/>
    </row>
    <row r="38" spans="1:10" ht="30" x14ac:dyDescent="0.25">
      <c r="A38" s="1">
        <v>1037</v>
      </c>
      <c r="B38" s="1" t="s">
        <v>61</v>
      </c>
      <c r="C38" s="1" t="s">
        <v>18</v>
      </c>
      <c r="D38" s="1" t="s">
        <v>29</v>
      </c>
      <c r="E38" s="1" t="s">
        <v>20</v>
      </c>
      <c r="F38" s="1">
        <v>40500</v>
      </c>
      <c r="G38" s="1">
        <v>3400</v>
      </c>
      <c r="H38" s="1">
        <f t="shared" si="0"/>
        <v>43900</v>
      </c>
      <c r="I38" s="1" t="s">
        <v>12</v>
      </c>
      <c r="J38" s="1"/>
    </row>
    <row r="39" spans="1:10" ht="30" x14ac:dyDescent="0.25">
      <c r="A39" s="1">
        <v>1038</v>
      </c>
      <c r="B39" s="1" t="s">
        <v>62</v>
      </c>
      <c r="C39" s="1" t="s">
        <v>9</v>
      </c>
      <c r="D39" s="1" t="s">
        <v>15</v>
      </c>
      <c r="E39" s="1" t="s">
        <v>11</v>
      </c>
      <c r="F39" s="1">
        <v>45500</v>
      </c>
      <c r="G39" s="1">
        <v>4600</v>
      </c>
      <c r="H39" s="1">
        <f t="shared" si="0"/>
        <v>50100</v>
      </c>
      <c r="I39" s="1" t="s">
        <v>12</v>
      </c>
      <c r="J39" s="1"/>
    </row>
    <row r="40" spans="1:10" ht="30" x14ac:dyDescent="0.25">
      <c r="A40" s="1">
        <v>1039</v>
      </c>
      <c r="B40" s="1" t="s">
        <v>63</v>
      </c>
      <c r="C40" s="1" t="s">
        <v>22</v>
      </c>
      <c r="D40" s="1" t="s">
        <v>27</v>
      </c>
      <c r="E40" s="1" t="s">
        <v>20</v>
      </c>
      <c r="F40" s="1">
        <v>39000</v>
      </c>
      <c r="G40" s="1">
        <v>5200</v>
      </c>
      <c r="H40" s="1">
        <f t="shared" si="0"/>
        <v>44200</v>
      </c>
      <c r="I40" s="1" t="s">
        <v>12</v>
      </c>
      <c r="J40" s="1"/>
    </row>
    <row r="41" spans="1:10" ht="30" x14ac:dyDescent="0.25">
      <c r="A41" s="1">
        <v>1040</v>
      </c>
      <c r="B41" s="1" t="s">
        <v>64</v>
      </c>
      <c r="C41" s="1" t="s">
        <v>14</v>
      </c>
      <c r="D41" s="1" t="s">
        <v>10</v>
      </c>
      <c r="E41" s="1" t="s">
        <v>11</v>
      </c>
      <c r="F41" s="1">
        <v>71000</v>
      </c>
      <c r="G41" s="1">
        <v>10500</v>
      </c>
      <c r="H41" s="1">
        <f t="shared" si="0"/>
        <v>81500</v>
      </c>
      <c r="I41" s="1" t="s">
        <v>12</v>
      </c>
      <c r="J41" s="1"/>
    </row>
    <row r="43" spans="1:10" ht="30" x14ac:dyDescent="0.25">
      <c r="B43" s="1" t="s">
        <v>81</v>
      </c>
    </row>
  </sheetData>
  <conditionalFormatting sqref="I2">
    <cfRule type="containsText" dxfId="1" priority="2" operator="containsText" text="c">
      <formula>NOT(ISERROR(SEARCH("c",I2)))</formula>
    </cfRule>
  </conditionalFormatting>
  <conditionalFormatting sqref="I5:I41">
    <cfRule type="containsText" dxfId="0" priority="1" operator="containsText" text="C">
      <formula>NOT(ISERROR(SEARCH("C",I5)))</formula>
    </cfRule>
  </conditionalFormatting>
  <dataValidations count="1">
    <dataValidation type="whole" operator="greaterThan" allowBlank="1" showInputMessage="1" showErrorMessage="1" errorTitle="ID ENTRY" error="DONOT ENTER ID GREATER THEN 1040" promptTitle="EMP LD" prompt=" ENTER ID ONLY BETWEEN 1001 TO 1040" sqref="A1:A1048576" xr:uid="{B15931F1-1FAC-4218-BAD7-FE2647055B0F}">
      <formula1>1040</formula1>
    </dataValidation>
  </dataValidation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895A-4BB9-4FDC-B20A-7F071D0EEF4A}">
  <dimension ref="A2:G44"/>
  <sheetViews>
    <sheetView topLeftCell="A3" workbookViewId="0">
      <selection activeCell="C5" sqref="C5"/>
    </sheetView>
  </sheetViews>
  <sheetFormatPr defaultRowHeight="15" x14ac:dyDescent="0.25"/>
  <cols>
    <col min="1" max="1" width="13.140625" bestFit="1" customWidth="1"/>
    <col min="2" max="2" width="13.85546875" bestFit="1" customWidth="1"/>
    <col min="3" max="3" width="18" bestFit="1" customWidth="1"/>
    <col min="4" max="4" width="17" bestFit="1" customWidth="1"/>
    <col min="5" max="5" width="12.42578125" bestFit="1" customWidth="1"/>
    <col min="6" max="6" width="15.85546875" bestFit="1" customWidth="1"/>
    <col min="7" max="7" width="24" bestFit="1" customWidth="1"/>
    <col min="8" max="8" width="8.42578125" bestFit="1" customWidth="1"/>
    <col min="9" max="9" width="11.7109375" bestFit="1" customWidth="1"/>
    <col min="10" max="10" width="11.42578125" bestFit="1" customWidth="1"/>
    <col min="11" max="11" width="14.7109375" bestFit="1" customWidth="1"/>
    <col min="12" max="12" width="13.5703125" bestFit="1" customWidth="1"/>
    <col min="13" max="13" width="11.85546875" bestFit="1" customWidth="1"/>
    <col min="14" max="14" width="12.28515625" bestFit="1" customWidth="1"/>
    <col min="16" max="16" width="9.5703125" bestFit="1" customWidth="1"/>
    <col min="17" max="17" width="11.28515625" bestFit="1" customWidth="1"/>
    <col min="18" max="18" width="11.7109375" bestFit="1" customWidth="1"/>
    <col min="19" max="19" width="18" bestFit="1" customWidth="1"/>
    <col min="20" max="20" width="12.28515625" bestFit="1" customWidth="1"/>
    <col min="21" max="21" width="12.85546875" bestFit="1" customWidth="1"/>
    <col min="22" max="22" width="13.140625" bestFit="1" customWidth="1"/>
    <col min="23" max="23" width="11.85546875" bestFit="1" customWidth="1"/>
    <col min="24" max="24" width="11" bestFit="1" customWidth="1"/>
    <col min="25" max="25" width="8.42578125" bestFit="1" customWidth="1"/>
    <col min="26" max="26" width="11.7109375" bestFit="1" customWidth="1"/>
    <col min="27" max="27" width="11.42578125" bestFit="1" customWidth="1"/>
    <col min="28" max="28" width="14.7109375" bestFit="1" customWidth="1"/>
    <col min="29" max="29" width="13.5703125" bestFit="1" customWidth="1"/>
    <col min="30" max="30" width="11.85546875" bestFit="1" customWidth="1"/>
    <col min="31" max="31" width="12.28515625" bestFit="1" customWidth="1"/>
    <col min="33" max="33" width="9.5703125" bestFit="1" customWidth="1"/>
    <col min="34" max="34" width="11.28515625" bestFit="1" customWidth="1"/>
    <col min="35" max="35" width="11.7109375" bestFit="1" customWidth="1"/>
    <col min="36" max="36" width="17" bestFit="1" customWidth="1"/>
    <col min="37" max="37" width="12.28515625" bestFit="1" customWidth="1"/>
    <col min="38" max="38" width="12.85546875" bestFit="1" customWidth="1"/>
    <col min="39" max="39" width="13.140625" bestFit="1" customWidth="1"/>
    <col min="40" max="40" width="11.85546875" bestFit="1" customWidth="1"/>
    <col min="41" max="41" width="11" bestFit="1" customWidth="1"/>
    <col min="42" max="42" width="8.42578125" bestFit="1" customWidth="1"/>
    <col min="43" max="43" width="11.7109375" bestFit="1" customWidth="1"/>
    <col min="44" max="44" width="11.42578125" bestFit="1" customWidth="1"/>
    <col min="45" max="45" width="14.7109375" bestFit="1" customWidth="1"/>
    <col min="46" max="46" width="13.5703125" bestFit="1" customWidth="1"/>
    <col min="47" max="47" width="11.85546875" bestFit="1" customWidth="1"/>
    <col min="48" max="48" width="12.28515625" bestFit="1" customWidth="1"/>
    <col min="50" max="50" width="9.5703125" bestFit="1" customWidth="1"/>
    <col min="51" max="51" width="11.28515625" bestFit="1" customWidth="1"/>
    <col min="52" max="52" width="11.7109375" bestFit="1" customWidth="1"/>
    <col min="53" max="53" width="12.42578125" bestFit="1" customWidth="1"/>
    <col min="54" max="54" width="12.28515625" bestFit="1" customWidth="1"/>
    <col min="55" max="55" width="12.85546875" bestFit="1" customWidth="1"/>
    <col min="56" max="56" width="13.140625" bestFit="1" customWidth="1"/>
    <col min="57" max="57" width="11.85546875" bestFit="1" customWidth="1"/>
    <col min="58" max="58" width="11" bestFit="1" customWidth="1"/>
    <col min="59" max="59" width="8.42578125" bestFit="1" customWidth="1"/>
    <col min="60" max="60" width="11.7109375" bestFit="1" customWidth="1"/>
    <col min="61" max="61" width="11.42578125" bestFit="1" customWidth="1"/>
    <col min="62" max="62" width="14.7109375" bestFit="1" customWidth="1"/>
    <col min="63" max="63" width="13.5703125" bestFit="1" customWidth="1"/>
    <col min="64" max="64" width="11.85546875" bestFit="1" customWidth="1"/>
    <col min="65" max="65" width="12.28515625" bestFit="1" customWidth="1"/>
    <col min="67" max="67" width="9.5703125" bestFit="1" customWidth="1"/>
    <col min="68" max="68" width="11.28515625" bestFit="1" customWidth="1"/>
    <col min="69" max="69" width="11.7109375" bestFit="1" customWidth="1"/>
    <col min="70" max="70" width="15.85546875" bestFit="1" customWidth="1"/>
    <col min="71" max="71" width="12.28515625" bestFit="1" customWidth="1"/>
    <col min="72" max="72" width="12.85546875" bestFit="1" customWidth="1"/>
    <col min="73" max="73" width="13.140625" bestFit="1" customWidth="1"/>
    <col min="74" max="74" width="11.85546875" bestFit="1" customWidth="1"/>
    <col min="75" max="75" width="11" bestFit="1" customWidth="1"/>
    <col min="76" max="76" width="8.42578125" bestFit="1" customWidth="1"/>
    <col min="77" max="77" width="11.7109375" bestFit="1" customWidth="1"/>
    <col min="78" max="78" width="11.42578125" bestFit="1" customWidth="1"/>
    <col min="79" max="79" width="14.7109375" bestFit="1" customWidth="1"/>
    <col min="80" max="80" width="13.5703125" bestFit="1" customWidth="1"/>
    <col min="81" max="81" width="11.85546875" bestFit="1" customWidth="1"/>
    <col min="82" max="82" width="12.28515625" bestFit="1" customWidth="1"/>
    <col min="84" max="84" width="9.5703125" bestFit="1" customWidth="1"/>
    <col min="85" max="85" width="11.28515625" bestFit="1" customWidth="1"/>
    <col min="86" max="86" width="11.7109375" bestFit="1" customWidth="1"/>
    <col min="87" max="87" width="18.85546875" bestFit="1" customWidth="1"/>
    <col min="88" max="88" width="23" bestFit="1" customWidth="1"/>
    <col min="89" max="89" width="22.140625" bestFit="1" customWidth="1"/>
    <col min="90" max="90" width="17.5703125" bestFit="1" customWidth="1"/>
    <col min="91" max="91" width="20.85546875" bestFit="1" customWidth="1"/>
  </cols>
  <sheetData>
    <row r="2" spans="1:7" x14ac:dyDescent="0.25">
      <c r="A2" s="2" t="s">
        <v>2</v>
      </c>
      <c r="B2" t="s">
        <v>72</v>
      </c>
    </row>
    <row r="3" spans="1:7" x14ac:dyDescent="0.25">
      <c r="A3" s="2" t="s">
        <v>4</v>
      </c>
      <c r="B3" t="s">
        <v>72</v>
      </c>
    </row>
    <row r="5" spans="1:7" x14ac:dyDescent="0.25">
      <c r="A5" s="2" t="s">
        <v>70</v>
      </c>
      <c r="B5" t="s">
        <v>73</v>
      </c>
      <c r="C5" t="s">
        <v>74</v>
      </c>
      <c r="D5" t="s">
        <v>75</v>
      </c>
      <c r="E5" t="s">
        <v>76</v>
      </c>
      <c r="F5" t="s">
        <v>77</v>
      </c>
      <c r="G5" t="s">
        <v>79</v>
      </c>
    </row>
    <row r="6" spans="1:7" x14ac:dyDescent="0.25">
      <c r="A6" s="3">
        <v>41500</v>
      </c>
      <c r="B6">
        <v>1014</v>
      </c>
      <c r="C6">
        <v>36000</v>
      </c>
      <c r="D6">
        <v>5500</v>
      </c>
      <c r="E6">
        <v>1</v>
      </c>
      <c r="F6">
        <v>1</v>
      </c>
      <c r="G6">
        <v>1</v>
      </c>
    </row>
    <row r="7" spans="1:7" x14ac:dyDescent="0.25">
      <c r="A7" s="3">
        <v>41800</v>
      </c>
      <c r="B7">
        <v>1019</v>
      </c>
      <c r="C7">
        <v>37000</v>
      </c>
      <c r="D7">
        <v>4800</v>
      </c>
      <c r="E7">
        <v>1</v>
      </c>
      <c r="F7">
        <v>1</v>
      </c>
      <c r="G7">
        <v>1</v>
      </c>
    </row>
    <row r="8" spans="1:7" x14ac:dyDescent="0.25">
      <c r="A8" s="3">
        <v>41900</v>
      </c>
      <c r="B8">
        <v>1034</v>
      </c>
      <c r="C8">
        <v>37000</v>
      </c>
      <c r="D8">
        <v>4900</v>
      </c>
      <c r="E8">
        <v>1</v>
      </c>
      <c r="F8">
        <v>1</v>
      </c>
      <c r="G8">
        <v>1</v>
      </c>
    </row>
    <row r="9" spans="1:7" x14ac:dyDescent="0.25">
      <c r="A9" s="3">
        <v>43000</v>
      </c>
      <c r="B9">
        <v>1017</v>
      </c>
      <c r="C9">
        <v>40000</v>
      </c>
      <c r="D9">
        <v>3000</v>
      </c>
      <c r="E9">
        <v>1</v>
      </c>
      <c r="F9">
        <v>1</v>
      </c>
      <c r="G9">
        <v>1</v>
      </c>
    </row>
    <row r="10" spans="1:7" x14ac:dyDescent="0.25">
      <c r="A10" s="3">
        <v>43800</v>
      </c>
      <c r="B10">
        <v>1024</v>
      </c>
      <c r="C10">
        <v>38500</v>
      </c>
      <c r="D10">
        <v>5300</v>
      </c>
      <c r="E10">
        <v>1</v>
      </c>
      <c r="F10">
        <v>1</v>
      </c>
      <c r="G10">
        <v>1</v>
      </c>
    </row>
    <row r="11" spans="1:7" x14ac:dyDescent="0.25">
      <c r="A11" s="3">
        <v>43900</v>
      </c>
      <c r="B11">
        <v>1037</v>
      </c>
      <c r="C11">
        <v>40500</v>
      </c>
      <c r="D11">
        <v>3400</v>
      </c>
      <c r="E11">
        <v>1</v>
      </c>
      <c r="F11">
        <v>1</v>
      </c>
      <c r="G11">
        <v>1</v>
      </c>
    </row>
    <row r="12" spans="1:7" x14ac:dyDescent="0.25">
      <c r="A12" s="3">
        <v>44000</v>
      </c>
      <c r="B12">
        <v>2013</v>
      </c>
      <c r="C12">
        <v>77000</v>
      </c>
      <c r="D12">
        <v>11000</v>
      </c>
      <c r="E12">
        <v>2</v>
      </c>
      <c r="F12">
        <v>2</v>
      </c>
      <c r="G12">
        <v>2</v>
      </c>
    </row>
    <row r="13" spans="1:7" x14ac:dyDescent="0.25">
      <c r="A13" s="3">
        <v>44200</v>
      </c>
      <c r="B13">
        <v>1039</v>
      </c>
      <c r="C13">
        <v>39000</v>
      </c>
      <c r="D13">
        <v>5200</v>
      </c>
      <c r="E13">
        <v>1</v>
      </c>
      <c r="F13">
        <v>1</v>
      </c>
      <c r="G13">
        <v>1</v>
      </c>
    </row>
    <row r="14" spans="1:7" x14ac:dyDescent="0.25">
      <c r="A14" s="3">
        <v>44500</v>
      </c>
      <c r="B14">
        <v>2029</v>
      </c>
      <c r="C14">
        <v>82000</v>
      </c>
      <c r="D14">
        <v>7000</v>
      </c>
      <c r="E14">
        <v>2</v>
      </c>
      <c r="F14">
        <v>2</v>
      </c>
      <c r="G14">
        <v>2</v>
      </c>
    </row>
    <row r="15" spans="1:7" x14ac:dyDescent="0.25">
      <c r="A15" s="3">
        <v>44600</v>
      </c>
      <c r="B15">
        <v>1029</v>
      </c>
      <c r="C15">
        <v>39500</v>
      </c>
      <c r="D15">
        <v>5100</v>
      </c>
      <c r="E15">
        <v>1</v>
      </c>
      <c r="F15">
        <v>1</v>
      </c>
      <c r="G15">
        <v>1</v>
      </c>
    </row>
    <row r="16" spans="1:7" x14ac:dyDescent="0.25">
      <c r="A16" s="3">
        <v>45100</v>
      </c>
      <c r="B16">
        <v>1033</v>
      </c>
      <c r="C16">
        <v>41500</v>
      </c>
      <c r="D16">
        <v>3600</v>
      </c>
      <c r="E16">
        <v>1</v>
      </c>
      <c r="F16">
        <v>1</v>
      </c>
      <c r="G16">
        <v>1</v>
      </c>
    </row>
    <row r="17" spans="1:7" x14ac:dyDescent="0.25">
      <c r="A17" s="3">
        <v>46000</v>
      </c>
      <c r="B17">
        <v>1003</v>
      </c>
      <c r="C17">
        <v>42000</v>
      </c>
      <c r="D17">
        <v>4000</v>
      </c>
      <c r="E17">
        <v>1</v>
      </c>
      <c r="F17">
        <v>1</v>
      </c>
      <c r="G17">
        <v>1</v>
      </c>
    </row>
    <row r="18" spans="1:7" x14ac:dyDescent="0.25">
      <c r="A18" s="3">
        <v>46300</v>
      </c>
      <c r="B18">
        <v>1028</v>
      </c>
      <c r="C18">
        <v>42500</v>
      </c>
      <c r="D18">
        <v>3800</v>
      </c>
      <c r="E18">
        <v>1</v>
      </c>
      <c r="F18">
        <v>1</v>
      </c>
      <c r="G18">
        <v>1</v>
      </c>
    </row>
    <row r="19" spans="1:7" x14ac:dyDescent="0.25">
      <c r="A19" s="3">
        <v>47500</v>
      </c>
      <c r="B19">
        <v>1013</v>
      </c>
      <c r="C19">
        <v>43000</v>
      </c>
      <c r="D19">
        <v>4500</v>
      </c>
      <c r="E19">
        <v>1</v>
      </c>
      <c r="F19">
        <v>1</v>
      </c>
      <c r="G19">
        <v>1</v>
      </c>
    </row>
    <row r="20" spans="1:7" x14ac:dyDescent="0.25">
      <c r="A20" s="3">
        <v>48000</v>
      </c>
      <c r="B20">
        <v>1012</v>
      </c>
      <c r="C20">
        <v>44000</v>
      </c>
      <c r="D20">
        <v>4000</v>
      </c>
      <c r="E20">
        <v>1</v>
      </c>
      <c r="F20">
        <v>1</v>
      </c>
      <c r="G20">
        <v>1</v>
      </c>
    </row>
    <row r="21" spans="1:7" x14ac:dyDescent="0.25">
      <c r="A21" s="3">
        <v>49200</v>
      </c>
      <c r="B21">
        <v>1023</v>
      </c>
      <c r="C21">
        <v>45000</v>
      </c>
      <c r="D21">
        <v>4200</v>
      </c>
      <c r="E21">
        <v>1</v>
      </c>
      <c r="F21">
        <v>1</v>
      </c>
      <c r="G21">
        <v>1</v>
      </c>
    </row>
    <row r="22" spans="1:7" x14ac:dyDescent="0.25">
      <c r="A22" s="3">
        <v>50000</v>
      </c>
      <c r="B22">
        <v>1001</v>
      </c>
      <c r="C22">
        <v>45000</v>
      </c>
      <c r="D22">
        <v>5000</v>
      </c>
      <c r="E22">
        <v>1</v>
      </c>
      <c r="F22">
        <v>1</v>
      </c>
      <c r="G22">
        <v>1</v>
      </c>
    </row>
    <row r="23" spans="1:7" x14ac:dyDescent="0.25">
      <c r="A23" s="3">
        <v>50100</v>
      </c>
      <c r="B23">
        <v>1038</v>
      </c>
      <c r="C23">
        <v>45500</v>
      </c>
      <c r="D23">
        <v>4600</v>
      </c>
      <c r="E23">
        <v>1</v>
      </c>
      <c r="F23">
        <v>1</v>
      </c>
      <c r="G23">
        <v>1</v>
      </c>
    </row>
    <row r="24" spans="1:7" x14ac:dyDescent="0.25">
      <c r="A24" s="3">
        <v>50500</v>
      </c>
      <c r="B24">
        <v>1008</v>
      </c>
      <c r="C24">
        <v>46000</v>
      </c>
      <c r="D24">
        <v>4500</v>
      </c>
      <c r="E24">
        <v>1</v>
      </c>
      <c r="F24">
        <v>1</v>
      </c>
      <c r="G24">
        <v>1</v>
      </c>
    </row>
    <row r="25" spans="1:7" x14ac:dyDescent="0.25">
      <c r="A25" s="3">
        <v>52000</v>
      </c>
      <c r="B25">
        <v>1027</v>
      </c>
      <c r="C25">
        <v>47000</v>
      </c>
      <c r="D25">
        <v>5000</v>
      </c>
      <c r="E25">
        <v>1</v>
      </c>
      <c r="F25">
        <v>1</v>
      </c>
      <c r="G25">
        <v>1</v>
      </c>
    </row>
    <row r="26" spans="1:7" x14ac:dyDescent="0.25">
      <c r="A26" s="3">
        <v>52200</v>
      </c>
      <c r="B26">
        <v>1031</v>
      </c>
      <c r="C26">
        <v>46000</v>
      </c>
      <c r="D26">
        <v>6200</v>
      </c>
      <c r="E26">
        <v>1</v>
      </c>
      <c r="F26">
        <v>1</v>
      </c>
      <c r="G26">
        <v>1</v>
      </c>
    </row>
    <row r="27" spans="1:7" x14ac:dyDescent="0.25">
      <c r="A27" s="3">
        <v>53000</v>
      </c>
      <c r="B27">
        <v>1015</v>
      </c>
      <c r="C27">
        <v>47000</v>
      </c>
      <c r="D27">
        <v>6000</v>
      </c>
      <c r="E27">
        <v>1</v>
      </c>
      <c r="F27">
        <v>1</v>
      </c>
      <c r="G27">
        <v>1</v>
      </c>
    </row>
    <row r="28" spans="1:7" x14ac:dyDescent="0.25">
      <c r="A28" s="3">
        <v>53300</v>
      </c>
      <c r="B28">
        <v>1032</v>
      </c>
      <c r="C28">
        <v>48000</v>
      </c>
      <c r="D28">
        <v>5300</v>
      </c>
      <c r="E28">
        <v>1</v>
      </c>
      <c r="F28">
        <v>1</v>
      </c>
      <c r="G28">
        <v>1</v>
      </c>
    </row>
    <row r="29" spans="1:7" x14ac:dyDescent="0.25">
      <c r="A29" s="3">
        <v>54200</v>
      </c>
      <c r="B29">
        <v>1018</v>
      </c>
      <c r="C29">
        <v>49000</v>
      </c>
      <c r="D29">
        <v>5200</v>
      </c>
      <c r="E29">
        <v>1</v>
      </c>
      <c r="F29">
        <v>1</v>
      </c>
      <c r="G29">
        <v>1</v>
      </c>
    </row>
    <row r="30" spans="1:7" x14ac:dyDescent="0.25">
      <c r="A30" s="3">
        <v>54500</v>
      </c>
      <c r="B30">
        <v>1011</v>
      </c>
      <c r="C30">
        <v>48000</v>
      </c>
      <c r="D30">
        <v>6500</v>
      </c>
      <c r="E30">
        <v>1</v>
      </c>
      <c r="F30">
        <v>1</v>
      </c>
      <c r="G30">
        <v>1</v>
      </c>
    </row>
    <row r="31" spans="1:7" x14ac:dyDescent="0.25">
      <c r="A31" s="3">
        <v>56300</v>
      </c>
      <c r="B31">
        <v>1026</v>
      </c>
      <c r="C31">
        <v>49500</v>
      </c>
      <c r="D31">
        <v>6800</v>
      </c>
      <c r="E31">
        <v>1</v>
      </c>
      <c r="F31">
        <v>1</v>
      </c>
      <c r="G31">
        <v>1</v>
      </c>
    </row>
    <row r="32" spans="1:7" x14ac:dyDescent="0.25">
      <c r="A32" s="3">
        <v>57000</v>
      </c>
      <c r="B32">
        <v>1005</v>
      </c>
      <c r="C32">
        <v>50000</v>
      </c>
      <c r="D32">
        <v>7000</v>
      </c>
      <c r="E32">
        <v>1</v>
      </c>
      <c r="F32">
        <v>1</v>
      </c>
      <c r="G32">
        <v>1</v>
      </c>
    </row>
    <row r="33" spans="1:7" x14ac:dyDescent="0.25">
      <c r="A33" s="3">
        <v>57700</v>
      </c>
      <c r="B33">
        <v>1035</v>
      </c>
      <c r="C33">
        <v>50500</v>
      </c>
      <c r="D33">
        <v>7200</v>
      </c>
      <c r="E33">
        <v>1</v>
      </c>
      <c r="F33">
        <v>1</v>
      </c>
      <c r="G33">
        <v>1</v>
      </c>
    </row>
    <row r="34" spans="1:7" x14ac:dyDescent="0.25">
      <c r="A34" s="3">
        <v>59500</v>
      </c>
      <c r="B34">
        <v>1021</v>
      </c>
      <c r="C34">
        <v>52000</v>
      </c>
      <c r="D34">
        <v>7500</v>
      </c>
      <c r="E34">
        <v>1</v>
      </c>
      <c r="F34">
        <v>1</v>
      </c>
      <c r="G34">
        <v>1</v>
      </c>
    </row>
    <row r="35" spans="1:7" x14ac:dyDescent="0.25">
      <c r="A35" s="3">
        <v>68000</v>
      </c>
      <c r="B35">
        <v>1002</v>
      </c>
      <c r="C35">
        <v>60000</v>
      </c>
      <c r="D35">
        <v>8000</v>
      </c>
      <c r="E35">
        <v>1</v>
      </c>
      <c r="F35">
        <v>1</v>
      </c>
      <c r="G35">
        <v>1</v>
      </c>
    </row>
    <row r="36" spans="1:7" x14ac:dyDescent="0.25">
      <c r="A36" s="3">
        <v>71200</v>
      </c>
      <c r="B36">
        <v>1025</v>
      </c>
      <c r="C36">
        <v>63000</v>
      </c>
      <c r="D36">
        <v>8200</v>
      </c>
      <c r="E36">
        <v>1</v>
      </c>
      <c r="F36">
        <v>1</v>
      </c>
      <c r="G36">
        <v>1</v>
      </c>
    </row>
    <row r="37" spans="1:7" x14ac:dyDescent="0.25">
      <c r="A37" s="3">
        <v>72300</v>
      </c>
      <c r="B37">
        <v>1036</v>
      </c>
      <c r="C37">
        <v>64000</v>
      </c>
      <c r="D37">
        <v>8300</v>
      </c>
      <c r="E37">
        <v>1</v>
      </c>
      <c r="F37">
        <v>1</v>
      </c>
      <c r="G37">
        <v>1</v>
      </c>
    </row>
    <row r="38" spans="1:7" x14ac:dyDescent="0.25">
      <c r="A38" s="3">
        <v>74000</v>
      </c>
      <c r="B38">
        <v>1006</v>
      </c>
      <c r="C38">
        <v>65000</v>
      </c>
      <c r="D38">
        <v>9000</v>
      </c>
      <c r="E38">
        <v>1</v>
      </c>
      <c r="F38">
        <v>1</v>
      </c>
      <c r="G38">
        <v>1</v>
      </c>
    </row>
    <row r="39" spans="1:7" x14ac:dyDescent="0.25">
      <c r="A39" s="3">
        <v>76500</v>
      </c>
      <c r="B39">
        <v>1016</v>
      </c>
      <c r="C39">
        <v>68000</v>
      </c>
      <c r="D39">
        <v>8500</v>
      </c>
      <c r="E39">
        <v>1</v>
      </c>
      <c r="F39">
        <v>1</v>
      </c>
      <c r="G39">
        <v>1</v>
      </c>
    </row>
    <row r="40" spans="1:7" x14ac:dyDescent="0.25">
      <c r="A40" s="3">
        <v>78000</v>
      </c>
      <c r="B40">
        <v>1030</v>
      </c>
      <c r="C40">
        <v>69000</v>
      </c>
      <c r="D40">
        <v>9000</v>
      </c>
      <c r="E40">
        <v>1</v>
      </c>
      <c r="F40">
        <v>1</v>
      </c>
      <c r="G40">
        <v>1</v>
      </c>
    </row>
    <row r="41" spans="1:7" x14ac:dyDescent="0.25">
      <c r="A41" s="3">
        <v>80000</v>
      </c>
      <c r="B41">
        <v>1010</v>
      </c>
      <c r="C41">
        <v>70000</v>
      </c>
      <c r="D41">
        <v>10000</v>
      </c>
      <c r="E41">
        <v>1</v>
      </c>
      <c r="F41">
        <v>1</v>
      </c>
      <c r="G41">
        <v>1</v>
      </c>
    </row>
    <row r="42" spans="1:7" x14ac:dyDescent="0.25">
      <c r="A42" s="3">
        <v>81500</v>
      </c>
      <c r="B42">
        <v>1040</v>
      </c>
      <c r="C42">
        <v>71000</v>
      </c>
      <c r="D42">
        <v>10500</v>
      </c>
      <c r="E42">
        <v>1</v>
      </c>
      <c r="F42">
        <v>1</v>
      </c>
      <c r="G42">
        <v>1</v>
      </c>
    </row>
    <row r="43" spans="1:7" x14ac:dyDescent="0.25">
      <c r="A43" s="3">
        <v>83000</v>
      </c>
      <c r="B43">
        <v>1020</v>
      </c>
      <c r="C43">
        <v>72000</v>
      </c>
      <c r="D43">
        <v>11000</v>
      </c>
      <c r="E43">
        <v>1</v>
      </c>
      <c r="F43">
        <v>1</v>
      </c>
      <c r="G43">
        <v>1</v>
      </c>
    </row>
    <row r="44" spans="1:7" x14ac:dyDescent="0.25">
      <c r="A44" s="3" t="s">
        <v>71</v>
      </c>
      <c r="B44">
        <v>40820</v>
      </c>
      <c r="C44">
        <v>1950000</v>
      </c>
      <c r="D44">
        <v>238600</v>
      </c>
      <c r="E44">
        <v>40</v>
      </c>
      <c r="F44">
        <v>40</v>
      </c>
      <c r="G44">
        <v>40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2026-01-31T10:13:58Z</dcterms:created>
  <dcterms:modified xsi:type="dcterms:W3CDTF">2026-02-01T05:37:25Z</dcterms:modified>
</cp:coreProperties>
</file>